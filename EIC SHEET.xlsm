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vyansh\Desktop\"/>
    </mc:Choice>
  </mc:AlternateContent>
  <xr:revisionPtr revIDLastSave="0" documentId="13_ncr:1_{44DFCC04-F74A-4C4D-83C8-DE81F7A55C06}" xr6:coauthVersionLast="47" xr6:coauthVersionMax="47" xr10:uidLastSave="{00000000-0000-0000-0000-000000000000}"/>
  <bookViews>
    <workbookView xWindow="-110" yWindow="-110" windowWidth="19420" windowHeight="10420" xr2:uid="{51C7B8B7-936F-4ACB-BA86-167CDA9A407C}"/>
  </bookViews>
  <sheets>
    <sheet name="QUANTATIVE ANALYSIS" sheetId="19" r:id="rId1"/>
    <sheet name="Score Range Quantative ANALYSIS" sheetId="20" r:id="rId2"/>
    <sheet name="QUALITATIVE ANALYSIS " sheetId="17" r:id="rId3"/>
    <sheet name="Score Range Qualitative ANALYSI" sheetId="18" r:id="rId4"/>
    <sheet name="Income statement" sheetId="12" r:id="rId5"/>
    <sheet name="Time series" sheetId="13" r:id="rId6"/>
    <sheet name="CROSS SECTION ANALYSIS" sheetId="14" r:id="rId7"/>
    <sheet name="COMPREHENSIVE ANALYSIS" sheetId="16" r:id="rId8"/>
    <sheet name="Industry average calculation" sheetId="22" r:id="rId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4" l="1"/>
  <c r="Q102" i="22"/>
  <c r="I102" i="22"/>
  <c r="Q101" i="22"/>
  <c r="I101" i="22"/>
  <c r="Q100" i="22"/>
  <c r="I100" i="22"/>
  <c r="Q99" i="22"/>
  <c r="I99" i="22"/>
  <c r="Q98" i="22"/>
  <c r="I98" i="22"/>
  <c r="Q97" i="22"/>
  <c r="I97" i="22"/>
  <c r="Q96" i="22"/>
  <c r="I96" i="22"/>
  <c r="Q95" i="22"/>
  <c r="Q103" i="22" s="1"/>
  <c r="I95" i="22"/>
  <c r="I103" i="22" s="1"/>
  <c r="Q90" i="22"/>
  <c r="Q89" i="22"/>
  <c r="I89" i="22"/>
  <c r="Q88" i="22"/>
  <c r="I88" i="22"/>
  <c r="Q87" i="22"/>
  <c r="I87" i="22"/>
  <c r="Q86" i="22"/>
  <c r="I86" i="22"/>
  <c r="Q85" i="22"/>
  <c r="I85" i="22"/>
  <c r="Q84" i="22"/>
  <c r="I84" i="22"/>
  <c r="I90" i="22" s="1"/>
  <c r="Q83" i="22"/>
  <c r="Q91" i="22" s="1"/>
  <c r="I83" i="22"/>
  <c r="I82" i="22"/>
  <c r="R78" i="22"/>
  <c r="J78" i="22"/>
  <c r="R77" i="22"/>
  <c r="J77" i="22"/>
  <c r="R76" i="22"/>
  <c r="J76" i="22"/>
  <c r="R75" i="22"/>
  <c r="J75" i="22"/>
  <c r="R74" i="22"/>
  <c r="J74" i="22"/>
  <c r="R73" i="22"/>
  <c r="J73" i="22"/>
  <c r="R72" i="22"/>
  <c r="J72" i="22"/>
  <c r="R71" i="22"/>
  <c r="R79" i="22" s="1"/>
  <c r="J71" i="22"/>
  <c r="J79" i="22" s="1"/>
  <c r="R68" i="22"/>
  <c r="R67" i="22"/>
  <c r="R66" i="22"/>
  <c r="R65" i="22"/>
  <c r="R64" i="22"/>
  <c r="K64" i="22"/>
  <c r="R63" i="22"/>
  <c r="K63" i="22"/>
  <c r="J63" i="22"/>
  <c r="R62" i="22"/>
  <c r="K62" i="22"/>
  <c r="J62" i="22"/>
  <c r="R61" i="22"/>
  <c r="R69" i="22" s="1"/>
  <c r="K61" i="22"/>
  <c r="J61" i="22"/>
  <c r="K60" i="22"/>
  <c r="J60" i="22"/>
  <c r="K59" i="22"/>
  <c r="J59" i="22"/>
  <c r="K58" i="22"/>
  <c r="J58" i="22"/>
  <c r="K57" i="22"/>
  <c r="J57" i="22"/>
  <c r="R56" i="22"/>
  <c r="Q56" i="22"/>
  <c r="P56" i="22"/>
  <c r="O56" i="22"/>
  <c r="K56" i="22"/>
  <c r="J56" i="22"/>
  <c r="J64" i="22" s="1"/>
  <c r="E52" i="22"/>
  <c r="L51" i="22"/>
  <c r="J51" i="22"/>
  <c r="L50" i="22"/>
  <c r="J50" i="22"/>
  <c r="L49" i="22"/>
  <c r="J49" i="22"/>
  <c r="L48" i="22"/>
  <c r="J48" i="22"/>
  <c r="L47" i="22"/>
  <c r="J47" i="22"/>
  <c r="L46" i="22"/>
  <c r="J46" i="22"/>
  <c r="L45" i="22"/>
  <c r="J45" i="22"/>
  <c r="L44" i="22"/>
  <c r="L52" i="22" s="1"/>
  <c r="J44" i="22"/>
  <c r="J52" i="22" s="1"/>
  <c r="J39" i="22"/>
  <c r="J38" i="22"/>
  <c r="J37" i="22"/>
  <c r="J36" i="22"/>
  <c r="J35" i="22"/>
  <c r="J34" i="22"/>
  <c r="J33" i="22"/>
  <c r="J32" i="22"/>
  <c r="J40" i="22" s="1"/>
  <c r="P30" i="22"/>
  <c r="M30" i="22"/>
  <c r="E29" i="22"/>
  <c r="I14" i="22"/>
  <c r="P13" i="22"/>
  <c r="C13" i="22"/>
  <c r="C76" i="20" l="1"/>
  <c r="C75" i="20"/>
  <c r="C74" i="20"/>
  <c r="C73" i="20"/>
  <c r="C59" i="20"/>
  <c r="C58" i="20"/>
  <c r="C57" i="20"/>
  <c r="C56" i="20"/>
  <c r="C55" i="20"/>
  <c r="AA32" i="19"/>
  <c r="Z32" i="19"/>
  <c r="Y32" i="19"/>
  <c r="X32" i="19"/>
  <c r="W32" i="19"/>
  <c r="V32" i="19"/>
  <c r="U32" i="19"/>
  <c r="T32" i="19"/>
  <c r="S32" i="19"/>
  <c r="R32" i="19"/>
  <c r="Q32" i="19"/>
  <c r="P32" i="19"/>
  <c r="O32" i="19"/>
  <c r="N32" i="19"/>
  <c r="M32" i="19"/>
  <c r="L32" i="19"/>
  <c r="K32" i="19"/>
  <c r="J32" i="19"/>
  <c r="I27" i="19"/>
  <c r="I24" i="19"/>
  <c r="I21" i="19"/>
  <c r="I17" i="19"/>
  <c r="I8" i="19"/>
  <c r="C82" i="18"/>
  <c r="C63" i="18"/>
  <c r="C62" i="18"/>
  <c r="C61" i="18"/>
  <c r="C60" i="18"/>
  <c r="C59" i="18"/>
  <c r="C46" i="18"/>
  <c r="C45" i="18"/>
  <c r="C44" i="18"/>
  <c r="C43" i="18"/>
  <c r="C42" i="18"/>
  <c r="C38" i="18"/>
  <c r="C37" i="18"/>
  <c r="C36" i="18"/>
  <c r="C35" i="18"/>
  <c r="C34" i="18"/>
  <c r="C29" i="18"/>
  <c r="C28" i="18"/>
  <c r="C25" i="18"/>
  <c r="AB41" i="17"/>
  <c r="AA41" i="17"/>
  <c r="Z41" i="17"/>
  <c r="Y41" i="17"/>
  <c r="X41" i="17"/>
  <c r="W41" i="17"/>
  <c r="V41" i="17"/>
  <c r="U41" i="17"/>
  <c r="T41" i="17"/>
  <c r="S41" i="17"/>
  <c r="R41" i="17"/>
  <c r="Q41" i="17"/>
  <c r="P41" i="17"/>
  <c r="O41" i="17"/>
  <c r="N41" i="17"/>
  <c r="M41" i="17"/>
  <c r="L41" i="17"/>
  <c r="K41" i="17"/>
  <c r="G41" i="17"/>
  <c r="F41" i="17"/>
  <c r="C32" i="17"/>
  <c r="C31" i="17"/>
  <c r="C27" i="17"/>
  <c r="C26" i="17"/>
  <c r="H22" i="17"/>
  <c r="C18" i="17"/>
  <c r="C17" i="17"/>
  <c r="C13" i="17"/>
  <c r="H12" i="17"/>
  <c r="C12" i="17"/>
  <c r="H8" i="17"/>
  <c r="C8" i="17"/>
  <c r="G23" i="14" l="1"/>
  <c r="F23" i="14"/>
  <c r="E23" i="14"/>
  <c r="D23" i="14"/>
  <c r="H22" i="14"/>
  <c r="H21" i="14"/>
  <c r="H18" i="14"/>
  <c r="H17" i="14"/>
  <c r="H14" i="14"/>
  <c r="H13" i="14"/>
  <c r="H10" i="14"/>
  <c r="H9" i="14"/>
  <c r="H8" i="14"/>
  <c r="H7" i="14"/>
  <c r="Q23" i="13"/>
  <c r="O23" i="13"/>
  <c r="N23" i="13"/>
  <c r="M23" i="13"/>
  <c r="L23" i="13"/>
  <c r="Q22" i="13"/>
  <c r="O22" i="13"/>
  <c r="N22" i="13"/>
  <c r="M22" i="13"/>
  <c r="L22" i="13"/>
  <c r="Q19" i="13"/>
  <c r="O19" i="13"/>
  <c r="N19" i="13"/>
  <c r="M19" i="13"/>
  <c r="L19" i="13"/>
  <c r="Q18" i="13"/>
  <c r="O18" i="13"/>
  <c r="N18" i="13"/>
  <c r="M18" i="13"/>
  <c r="L18" i="13"/>
  <c r="Q15" i="13"/>
  <c r="O15" i="13"/>
  <c r="N15" i="13"/>
  <c r="M15" i="13"/>
  <c r="L15" i="13"/>
  <c r="Q14" i="13"/>
  <c r="O14" i="13"/>
  <c r="N14" i="13"/>
  <c r="M14" i="13"/>
  <c r="L14" i="13"/>
  <c r="Q11" i="13"/>
  <c r="O11" i="13"/>
  <c r="N11" i="13"/>
  <c r="M11" i="13"/>
  <c r="L11" i="13"/>
  <c r="Q10" i="13"/>
  <c r="O10" i="13"/>
  <c r="N10" i="13"/>
  <c r="M10" i="13"/>
  <c r="L10" i="13"/>
  <c r="Q9" i="13"/>
  <c r="O9" i="13"/>
  <c r="N9" i="13"/>
  <c r="M9" i="13"/>
  <c r="L9" i="13"/>
  <c r="Q8" i="13"/>
  <c r="O8" i="13"/>
  <c r="N8" i="13"/>
  <c r="M8" i="13"/>
  <c r="L8" i="13"/>
  <c r="Q7" i="13"/>
  <c r="Q25" i="13" s="1"/>
  <c r="O7" i="13"/>
  <c r="N7" i="13"/>
  <c r="M7" i="13"/>
  <c r="L7" i="13"/>
  <c r="R22" i="12"/>
  <c r="M22" i="12"/>
  <c r="L22" i="12"/>
  <c r="K22" i="12"/>
  <c r="J22" i="12"/>
  <c r="H21" i="12"/>
  <c r="G21" i="12"/>
  <c r="F21" i="12"/>
  <c r="E21" i="12"/>
  <c r="D21" i="12"/>
  <c r="R21" i="12" s="1"/>
  <c r="R20" i="12"/>
  <c r="M20" i="12"/>
  <c r="L20" i="12"/>
  <c r="K20" i="12"/>
  <c r="J20" i="12"/>
  <c r="R19" i="12"/>
  <c r="M19" i="12"/>
  <c r="L19" i="12"/>
  <c r="K19" i="12"/>
  <c r="J19" i="12"/>
  <c r="R18" i="12"/>
  <c r="R17" i="12"/>
  <c r="M17" i="12"/>
  <c r="L17" i="12"/>
  <c r="K17" i="12"/>
  <c r="J17" i="12"/>
  <c r="R16" i="12"/>
  <c r="R15" i="12"/>
  <c r="M15" i="12"/>
  <c r="L15" i="12"/>
  <c r="K15" i="12"/>
  <c r="J15" i="12"/>
  <c r="R14" i="12"/>
  <c r="M14" i="12"/>
  <c r="L14" i="12"/>
  <c r="K14" i="12"/>
  <c r="J14" i="12"/>
  <c r="R13" i="12"/>
  <c r="R12" i="12"/>
  <c r="R11" i="12"/>
  <c r="M11" i="12"/>
  <c r="L11" i="12"/>
  <c r="K11" i="12"/>
  <c r="J11" i="12"/>
  <c r="R10" i="12"/>
  <c r="H10" i="12"/>
  <c r="M10" i="12" s="1"/>
  <c r="G10" i="12"/>
  <c r="L10" i="12" s="1"/>
  <c r="F10" i="12"/>
  <c r="K10" i="12" s="1"/>
  <c r="E10" i="12"/>
  <c r="J10" i="12" s="1"/>
  <c r="D10" i="12"/>
  <c r="R9" i="12"/>
  <c r="M9" i="12"/>
  <c r="L9" i="12"/>
  <c r="K9" i="12"/>
  <c r="J9" i="12"/>
  <c r="R8" i="12"/>
  <c r="M8" i="12"/>
  <c r="L8" i="12"/>
  <c r="K8" i="12"/>
  <c r="J8" i="12"/>
  <c r="R7" i="12"/>
  <c r="H7" i="12"/>
  <c r="M7" i="12" s="1"/>
  <c r="G7" i="12"/>
  <c r="L7" i="12" s="1"/>
  <c r="F7" i="12"/>
  <c r="K7" i="12" s="1"/>
  <c r="E7" i="12"/>
  <c r="J7" i="12" s="1"/>
  <c r="D7" i="12"/>
  <c r="R6" i="12"/>
  <c r="R24" i="12" s="1"/>
  <c r="M6" i="12"/>
  <c r="L6" i="12"/>
  <c r="K6" i="12"/>
  <c r="J6" i="12"/>
</calcChain>
</file>

<file path=xl/sharedStrings.xml><?xml version="1.0" encoding="utf-8"?>
<sst xmlns="http://schemas.openxmlformats.org/spreadsheetml/2006/main" count="559" uniqueCount="239">
  <si>
    <t>QUALITATIVE ECONOMIC ANALYSIS</t>
  </si>
  <si>
    <t>Countries-</t>
  </si>
  <si>
    <t>ICELAND</t>
  </si>
  <si>
    <t>JAPAN</t>
  </si>
  <si>
    <t>NETHERLAND</t>
  </si>
  <si>
    <t>UNITED KINGDOM</t>
  </si>
  <si>
    <t>FRANCE</t>
  </si>
  <si>
    <t>SOUTH KOREA</t>
  </si>
  <si>
    <t>JORDON</t>
  </si>
  <si>
    <t>NEPAL</t>
  </si>
  <si>
    <t>SRILANKA</t>
  </si>
  <si>
    <t>U.S.A</t>
  </si>
  <si>
    <t>INDIA</t>
  </si>
  <si>
    <t>BRAZIL</t>
  </si>
  <si>
    <t>THAILAND</t>
  </si>
  <si>
    <t>MEXICO</t>
  </si>
  <si>
    <t>RUSSIA</t>
  </si>
  <si>
    <t>PAKISTAN</t>
  </si>
  <si>
    <t>IRAQ</t>
  </si>
  <si>
    <t>AFGHANISTAN</t>
  </si>
  <si>
    <t>BOARD PARAMETER</t>
  </si>
  <si>
    <t xml:space="preserve">SUB PARAMTER </t>
  </si>
  <si>
    <t>WEB LINK</t>
  </si>
  <si>
    <t>LATEST AVAILABLE YEAR</t>
  </si>
  <si>
    <t>WEIGHT</t>
  </si>
  <si>
    <t>SUB WEIGHT</t>
  </si>
  <si>
    <t>scale</t>
  </si>
  <si>
    <t>PEACE</t>
  </si>
  <si>
    <t>LINK</t>
  </si>
  <si>
    <t>POLITICAL FACTOR</t>
  </si>
  <si>
    <t>13-76</t>
  </si>
  <si>
    <t>BUSINESS ETHICS &amp; MORAL FREEDOM</t>
  </si>
  <si>
    <t>1-100</t>
  </si>
  <si>
    <t>TECHNOLOGY</t>
  </si>
  <si>
    <r>
      <rPr>
        <b/>
        <sz val="11"/>
        <color rgb="FF202122"/>
        <rFont val="Arial"/>
        <family val="2"/>
      </rPr>
      <t xml:space="preserve"> </t>
    </r>
    <r>
      <rPr>
        <sz val="11"/>
        <color rgb="FF202122"/>
        <rFont val="Arial"/>
        <family val="2"/>
      </rPr>
      <t>ICT Development Index</t>
    </r>
    <r>
      <rPr>
        <b/>
        <sz val="11"/>
        <color rgb="FF202122"/>
        <rFont val="Arial"/>
        <family val="2"/>
      </rPr>
      <t xml:space="preserve"> </t>
    </r>
  </si>
  <si>
    <t>Global Competitive index</t>
  </si>
  <si>
    <t>40-100</t>
  </si>
  <si>
    <t>social</t>
  </si>
  <si>
    <t>0-1</t>
  </si>
  <si>
    <t>3.5-10</t>
  </si>
  <si>
    <t>ENVIRONMENTAL</t>
  </si>
  <si>
    <t>0-80</t>
  </si>
  <si>
    <t>LEGAL</t>
  </si>
  <si>
    <t>Ease of doing business</t>
  </si>
  <si>
    <t>1-200</t>
  </si>
  <si>
    <t>Rule of law index</t>
  </si>
  <si>
    <t>0-0.90</t>
  </si>
  <si>
    <t>TOP 3   BEST COUNTRY BASED ON QUALITATIVE ANALYSIS ARE-</t>
  </si>
  <si>
    <t>UNITEDKINGDOM</t>
  </si>
  <si>
    <t>TOP 3  WORST COUNTRY BASED ON QUALITATIVE ANALYSIS ARE-</t>
  </si>
  <si>
    <t>GLOBAL PEACE INDEX</t>
  </si>
  <si>
    <t>SCORE</t>
  </si>
  <si>
    <t>RANGE</t>
  </si>
  <si>
    <t>1.1-2.2</t>
  </si>
  <si>
    <t>2.3-3.2</t>
  </si>
  <si>
    <t>3.3-3.7</t>
  </si>
  <si>
    <t>3.7-4.3</t>
  </si>
  <si>
    <t>4.4-5</t>
  </si>
  <si>
    <t>CORRUPTION PERCEPTION INDEX</t>
  </si>
  <si>
    <t>76-82</t>
  </si>
  <si>
    <t>65-75</t>
  </si>
  <si>
    <t>50-65</t>
  </si>
  <si>
    <t>35-50</t>
  </si>
  <si>
    <t>13-50</t>
  </si>
  <si>
    <t>WORLD INDEX OF MORAL FREEDOM</t>
  </si>
  <si>
    <t>41-52</t>
  </si>
  <si>
    <t>53-65</t>
  </si>
  <si>
    <t>SOCIAL</t>
  </si>
  <si>
    <t>human development index</t>
  </si>
  <si>
    <t>0.0-0.55</t>
  </si>
  <si>
    <t>0.56-0.70</t>
  </si>
  <si>
    <t>0.71-0.78</t>
  </si>
  <si>
    <t>0.79-0.85</t>
  </si>
  <si>
    <t>0.85-1</t>
  </si>
  <si>
    <t>quality of life index</t>
  </si>
  <si>
    <t>ENVIRONMENTAL PERFORMANCE INDEX</t>
  </si>
  <si>
    <t>75-80</t>
  </si>
  <si>
    <t>60-70</t>
  </si>
  <si>
    <t>45-60</t>
  </si>
  <si>
    <t>25-45</t>
  </si>
  <si>
    <t>0-25</t>
  </si>
  <si>
    <t>150-200</t>
  </si>
  <si>
    <t>100-150</t>
  </si>
  <si>
    <t>60-100</t>
  </si>
  <si>
    <t>25-60</t>
  </si>
  <si>
    <t>0.90-0.80</t>
  </si>
  <si>
    <t>0.80-0.65</t>
  </si>
  <si>
    <t>0.65-0.50</t>
  </si>
  <si>
    <t>0.50-0.30</t>
  </si>
  <si>
    <t>0.30-0.0</t>
  </si>
  <si>
    <t>QUANTATIVE ECONOMIC ANALYSIS</t>
  </si>
  <si>
    <t>Countries</t>
  </si>
  <si>
    <t>SUB-WEIGHT</t>
  </si>
  <si>
    <t>GDP</t>
  </si>
  <si>
    <t>GDP PER CAPITAL</t>
  </si>
  <si>
    <t>500-5000</t>
  </si>
  <si>
    <t>GDP ANNUAL GROWTH RATE</t>
  </si>
  <si>
    <t>DEBT(RATIO CYCLE)</t>
  </si>
  <si>
    <t>National Debt to GDP Ratio</t>
  </si>
  <si>
    <t>0%-400%</t>
  </si>
  <si>
    <t xml:space="preserve">Inflation </t>
  </si>
  <si>
    <t>inflation index</t>
  </si>
  <si>
    <t>0%-10%</t>
  </si>
  <si>
    <t>forex reserve</t>
  </si>
  <si>
    <t>govt budjet</t>
  </si>
  <si>
    <t>foreign exchange reserve</t>
  </si>
  <si>
    <t>1bn$-600bn$</t>
  </si>
  <si>
    <t>Interest Rate</t>
  </si>
  <si>
    <t>real intrest rate(%)</t>
  </si>
  <si>
    <t>Balance of payment</t>
  </si>
  <si>
    <t>CURRENT ACCOUNT</t>
  </si>
  <si>
    <t>jobs</t>
  </si>
  <si>
    <t>unemployment rate</t>
  </si>
  <si>
    <t>Total-</t>
  </si>
  <si>
    <t>]</t>
  </si>
  <si>
    <t>TOP 3 BEST COUNTRY</t>
  </si>
  <si>
    <t>TOP 3 WORST COUNTRY</t>
  </si>
  <si>
    <t>55000-60000</t>
  </si>
  <si>
    <t>45000-55000</t>
  </si>
  <si>
    <t>35000-45000</t>
  </si>
  <si>
    <t>25000-35000</t>
  </si>
  <si>
    <t>500-25000</t>
  </si>
  <si>
    <t>4.50-10</t>
  </si>
  <si>
    <t>3-4.50</t>
  </si>
  <si>
    <t>2.50-3</t>
  </si>
  <si>
    <t>1.50-2.50</t>
  </si>
  <si>
    <t xml:space="preserve"> - 3 -(1.5)</t>
  </si>
  <si>
    <t>0%-30%</t>
  </si>
  <si>
    <t>30%-60%</t>
  </si>
  <si>
    <t>60%-100%</t>
  </si>
  <si>
    <t>100%-200%</t>
  </si>
  <si>
    <t>200%-400%</t>
  </si>
  <si>
    <t>7%-10%</t>
  </si>
  <si>
    <t>6%-7%</t>
  </si>
  <si>
    <t>4%-5%</t>
  </si>
  <si>
    <t>2%-3%</t>
  </si>
  <si>
    <t>0%-1%</t>
  </si>
  <si>
    <t>(-4%- -2%</t>
  </si>
  <si>
    <t>(-6%- -4%</t>
  </si>
  <si>
    <t>(-9%--7%)</t>
  </si>
  <si>
    <t>(-13%--9%)</t>
  </si>
  <si>
    <t>(-18%- 13%)</t>
  </si>
  <si>
    <t>530bn dollar-600 bdollar</t>
  </si>
  <si>
    <t>450bn dollar-525bn dollar</t>
  </si>
  <si>
    <t>350bn dollar-450bn dollar</t>
  </si>
  <si>
    <t>200bn dollar-350bn dolar</t>
  </si>
  <si>
    <t>1bn dollar-200bndollar</t>
  </si>
  <si>
    <t>0-700</t>
  </si>
  <si>
    <t>(-10-22)</t>
  </si>
  <si>
    <t>(-5-10)</t>
  </si>
  <si>
    <t>(0- -4)</t>
  </si>
  <si>
    <t>0-4)</t>
  </si>
  <si>
    <t>4-8)</t>
  </si>
  <si>
    <t>13-15</t>
  </si>
  <si>
    <t>Income Statement Analysis</t>
  </si>
  <si>
    <t>Var%</t>
  </si>
  <si>
    <t>INR In Crore</t>
  </si>
  <si>
    <t>FY17-FY18</t>
  </si>
  <si>
    <t>FY18-FY19</t>
  </si>
  <si>
    <t>FY19-20</t>
  </si>
  <si>
    <t>FY20-FY21</t>
  </si>
  <si>
    <t>TREND</t>
  </si>
  <si>
    <t>CAGR</t>
  </si>
  <si>
    <t>NET SALE</t>
  </si>
  <si>
    <t>Other reveue</t>
  </si>
  <si>
    <t>Total Revenue</t>
  </si>
  <si>
    <t>Cost of good sold (COGS)</t>
  </si>
  <si>
    <t>Gross profit</t>
  </si>
  <si>
    <t xml:space="preserve"> Operating Expenses</t>
  </si>
  <si>
    <t>Depreciation &amp; Amortization</t>
  </si>
  <si>
    <t xml:space="preserve">Amrotization </t>
  </si>
  <si>
    <t xml:space="preserve">Deprecriation </t>
  </si>
  <si>
    <t>Operating profits (EBIT)</t>
  </si>
  <si>
    <t>Interest expenses</t>
  </si>
  <si>
    <t>PBT</t>
  </si>
  <si>
    <t>Tax expesnes</t>
  </si>
  <si>
    <t>net income</t>
  </si>
  <si>
    <t>Ratios</t>
  </si>
  <si>
    <t>SUB-PARAMETER</t>
  </si>
  <si>
    <t>Weight</t>
  </si>
  <si>
    <t>SUBWEIGHT</t>
  </si>
  <si>
    <t>Profitability Ratio</t>
  </si>
  <si>
    <t>PE Ratio</t>
  </si>
  <si>
    <t>ROE%</t>
  </si>
  <si>
    <t>ROCE%</t>
  </si>
  <si>
    <t>ROA%</t>
  </si>
  <si>
    <t>NET PROFIT MARGIN</t>
  </si>
  <si>
    <t>Leverage Ratio</t>
  </si>
  <si>
    <t>INTEREST COVERGE</t>
  </si>
  <si>
    <t>Total Debt to Equity Ratio</t>
  </si>
  <si>
    <t>Activity Ratio</t>
  </si>
  <si>
    <t>INVENTORY TURNOVER RATIO</t>
  </si>
  <si>
    <t xml:space="preserve">  ASSET TURNOVER RATIO</t>
  </si>
  <si>
    <t>Liquidity Ratio</t>
  </si>
  <si>
    <t xml:space="preserve">Current Ratio </t>
  </si>
  <si>
    <t>Quick Ratio</t>
  </si>
  <si>
    <t>CROSS SECTION ANALYSIS</t>
  </si>
  <si>
    <t>Industry Average</t>
  </si>
  <si>
    <t xml:space="preserve">Britannia </t>
  </si>
  <si>
    <t>Under/Out Perform</t>
  </si>
  <si>
    <t>r. No.</t>
  </si>
  <si>
    <t>Company Name</t>
  </si>
  <si>
    <t>Rank</t>
  </si>
  <si>
    <t>Score</t>
  </si>
  <si>
    <t>Sr. No.</t>
  </si>
  <si>
    <t>ROCE</t>
  </si>
  <si>
    <t>ROE</t>
  </si>
  <si>
    <t>HUL</t>
  </si>
  <si>
    <t>ITC</t>
  </si>
  <si>
    <t>Nestle India</t>
  </si>
  <si>
    <t>Godrej Consumers</t>
  </si>
  <si>
    <t>Dabur India</t>
  </si>
  <si>
    <t>Britannia</t>
  </si>
  <si>
    <t>Marico</t>
  </si>
  <si>
    <t>Colgate</t>
  </si>
  <si>
    <t>GSK Consumer</t>
  </si>
  <si>
    <t>P&amp;G</t>
  </si>
  <si>
    <t>DE Ratio</t>
  </si>
  <si>
    <t xml:space="preserve">  </t>
  </si>
  <si>
    <t>INTEREST COVERAGE</t>
  </si>
  <si>
    <t xml:space="preserve">QUICK Ratio </t>
  </si>
  <si>
    <t>TOTAL ASSET TURNOVE RATIO</t>
  </si>
  <si>
    <t>roce</t>
  </si>
  <si>
    <t>debt to equity</t>
  </si>
  <si>
    <t>roa%</t>
  </si>
  <si>
    <t>net proft margin</t>
  </si>
  <si>
    <t>current ratio</t>
  </si>
  <si>
    <t>quick ratio</t>
  </si>
  <si>
    <t xml:space="preserve">         </t>
  </si>
  <si>
    <t>COMPREHENSIVE ANALYSIS</t>
  </si>
  <si>
    <t xml:space="preserve">                   </t>
  </si>
  <si>
    <t>Britannia Industries Ltd</t>
  </si>
  <si>
    <t>TIME SERIES ANALYSIS</t>
  </si>
  <si>
    <t>RECOMMENDATION</t>
  </si>
  <si>
    <t>Industry Weightage Score</t>
  </si>
  <si>
    <t>SELL</t>
  </si>
  <si>
    <t>Under Performer</t>
  </si>
  <si>
    <t>Britannia Industries Ltd.</t>
  </si>
  <si>
    <t>BRITANNIA INDUSTRY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</si>
</sst>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0"/>
      <name val="Arial Black"/>
      <family val="2"/>
    </font>
    <font>
      <sz val="11"/>
      <color theme="0"/>
      <name val="Arial Black"/>
      <family val="2"/>
    </font>
    <font>
      <sz val="14"/>
      <color theme="0"/>
      <name val="Arial Black"/>
      <family val="2"/>
    </font>
    <font>
      <b/>
      <sz val="11"/>
      <color theme="1"/>
      <name val="Arial Black"/>
      <family val="2"/>
    </font>
    <font>
      <sz val="11"/>
      <color theme="1"/>
      <name val="Arial"/>
      <family val="2"/>
    </font>
    <font>
      <sz val="11"/>
      <color rgb="FF202124"/>
      <name val="Arial"/>
      <family val="2"/>
    </font>
    <font>
      <sz val="11"/>
      <color rgb="FF202122"/>
      <name val="Arial"/>
      <family val="2"/>
    </font>
    <font>
      <b/>
      <sz val="11"/>
      <color rgb="FF202122"/>
      <name val="Arial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theme="0"/>
      <name val="Arial Black"/>
      <family val="2"/>
    </font>
    <font>
      <sz val="10"/>
      <color theme="0"/>
      <name val="Arial Black"/>
      <family val="2"/>
    </font>
    <font>
      <sz val="11"/>
      <color theme="1"/>
      <name val="Arial Black"/>
      <family val="2"/>
    </font>
    <font>
      <b/>
      <sz val="11"/>
      <color theme="1"/>
      <name val="Calibri Light"/>
      <family val="2"/>
      <scheme val="major"/>
    </font>
    <font>
      <strike/>
      <sz val="11"/>
      <color theme="1"/>
      <name val="Calibri"/>
      <family val="2"/>
      <scheme val="minor"/>
    </font>
    <font>
      <sz val="18"/>
      <color theme="0"/>
      <name val="Arial Black"/>
      <family val="2"/>
    </font>
    <font>
      <sz val="11"/>
      <color theme="4" tint="-0.499984740745262"/>
      <name val="Arial Black"/>
      <family val="2"/>
    </font>
    <font>
      <sz val="8"/>
      <color rgb="FF202124"/>
      <name val="Arial"/>
      <family val="2"/>
    </font>
    <font>
      <sz val="7"/>
      <color rgb="FF202124"/>
      <name val="Arial"/>
      <family val="2"/>
    </font>
    <font>
      <sz val="16"/>
      <color theme="0"/>
      <name val="Calibri"/>
      <family val="2"/>
      <scheme val="minor"/>
    </font>
    <font>
      <sz val="12"/>
      <color theme="0"/>
      <name val="Arial Black"/>
      <family val="2"/>
    </font>
    <font>
      <sz val="12"/>
      <color theme="1"/>
      <name val="Calibri"/>
      <family val="2"/>
      <scheme val="minor"/>
    </font>
    <font>
      <b/>
      <sz val="7"/>
      <color rgb="FF202124"/>
      <name val="Arial"/>
      <family val="2"/>
    </font>
    <font>
      <b/>
      <sz val="8"/>
      <color rgb="FF202124"/>
      <name val="Arial"/>
      <family val="2"/>
    </font>
    <font>
      <sz val="22"/>
      <color theme="0"/>
      <name val="Arial"/>
      <family val="2"/>
    </font>
    <font>
      <sz val="11"/>
      <color rgb="FF002060"/>
      <name val="Arial Black"/>
      <family val="2"/>
    </font>
    <font>
      <sz val="7"/>
      <color rgb="FF333333"/>
      <name val="Arial"/>
      <family val="2"/>
    </font>
    <font>
      <b/>
      <sz val="7"/>
      <color rgb="FF333333"/>
      <name val="Arial"/>
      <family val="2"/>
    </font>
    <font>
      <sz val="11"/>
      <color rgb="FF22222F"/>
      <name val="Arial"/>
      <family val="2"/>
    </font>
    <font>
      <sz val="7"/>
      <color theme="0"/>
      <name val="Arial"/>
      <family val="2"/>
    </font>
    <font>
      <sz val="18"/>
      <color theme="1"/>
      <name val="Calibri"/>
      <family val="2"/>
      <scheme val="minor"/>
    </font>
    <font>
      <sz val="6"/>
      <color rgb="FF000000"/>
      <name val="Arial"/>
      <family val="2"/>
    </font>
    <font>
      <sz val="6"/>
      <color rgb="FF373A3C"/>
      <name val="Roboto"/>
    </font>
    <font>
      <sz val="11"/>
      <color rgb="FF373A3C"/>
      <name val="Roboto"/>
    </font>
    <font>
      <sz val="6"/>
      <color rgb="FF333333"/>
      <name val="Arial"/>
      <family val="2"/>
    </font>
    <font>
      <sz val="8"/>
      <color rgb="FF000000"/>
      <name val="Open Sans"/>
      <family val="2"/>
    </font>
    <font>
      <sz val="24"/>
      <color theme="1"/>
      <name val="Calibri"/>
      <family val="2"/>
      <scheme val="minor"/>
    </font>
    <font>
      <sz val="24"/>
      <color theme="1"/>
      <name val="Arial Black"/>
      <family val="2"/>
    </font>
    <font>
      <b/>
      <sz val="7"/>
      <color rgb="FF6A6A6A"/>
      <name val="Arial"/>
      <family val="2"/>
    </font>
    <font>
      <sz val="7"/>
      <color rgb="FF6A6A6A"/>
      <name val="Arial"/>
      <family val="2"/>
    </font>
    <font>
      <sz val="8"/>
      <color rgb="FF000000"/>
      <name val="Arial"/>
      <family val="2"/>
    </font>
    <font>
      <sz val="7"/>
      <color rgb="FF000000"/>
      <name val="Arial"/>
      <family val="2"/>
    </font>
    <font>
      <b/>
      <i/>
      <sz val="12"/>
      <color theme="1"/>
      <name val="Calibri"/>
      <family val="2"/>
      <scheme val="minor"/>
    </font>
    <font>
      <sz val="14"/>
      <color theme="1"/>
      <name val="Arial Black"/>
      <family val="2"/>
    </font>
    <font>
      <sz val="14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8"/>
      <color theme="1"/>
      <name val="Arial Black"/>
      <family val="2"/>
    </font>
    <font>
      <sz val="16"/>
      <color theme="1"/>
      <name val="Arial Black"/>
      <family val="2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22"/>
      <color theme="1"/>
      <name val="Arial"/>
      <family val="2"/>
    </font>
    <font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8" tint="-0.249977111117893"/>
      <name val="Arial Black"/>
      <family val="2"/>
    </font>
    <font>
      <sz val="18"/>
      <color theme="8" tint="-0.249977111117893"/>
      <name val="Calibri"/>
      <family val="2"/>
      <scheme val="minor"/>
    </font>
    <font>
      <i/>
      <sz val="18"/>
      <color theme="0"/>
      <name val="Arial Black"/>
      <family val="2"/>
    </font>
    <font>
      <i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6F8FB"/>
        <bgColor indexed="64"/>
      </patternFill>
    </fill>
  </fills>
  <borders count="54">
    <border>
      <left/>
      <right/>
      <top/>
      <bottom/>
      <diagonal/>
    </border>
    <border>
      <left style="medium">
        <color theme="1"/>
      </left>
      <right/>
      <top style="medium">
        <color theme="1"/>
      </top>
      <bottom style="thick">
        <color theme="1"/>
      </bottom>
      <diagonal/>
    </border>
    <border>
      <left/>
      <right/>
      <top style="medium">
        <color theme="1"/>
      </top>
      <bottom style="thick">
        <color theme="1"/>
      </bottom>
      <diagonal/>
    </border>
    <border>
      <left/>
      <right style="medium">
        <color theme="1"/>
      </right>
      <top style="medium">
        <color theme="1"/>
      </top>
      <bottom style="thick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rgb="FF002060"/>
      </left>
      <right/>
      <top/>
      <bottom style="medium">
        <color rgb="FFEBEBEB"/>
      </bottom>
      <diagonal/>
    </border>
    <border>
      <left/>
      <right style="thick">
        <color rgb="FF002060"/>
      </right>
      <top/>
      <bottom style="medium">
        <color rgb="FFEBEBEB"/>
      </bottom>
      <diagonal/>
    </border>
    <border>
      <left/>
      <right/>
      <top/>
      <bottom style="thin">
        <color rgb="FF002060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n">
        <color theme="0"/>
      </bottom>
      <diagonal/>
    </border>
    <border>
      <left/>
      <right/>
      <top style="medium">
        <color rgb="FFD1D1D1"/>
      </top>
      <bottom style="medium">
        <color rgb="FFE0E0E0"/>
      </bottom>
      <diagonal/>
    </border>
    <border>
      <left/>
      <right/>
      <top/>
      <bottom style="medium">
        <color rgb="FF002060"/>
      </bottom>
      <diagonal/>
    </border>
    <border>
      <left/>
      <right/>
      <top style="medium">
        <color rgb="FF002060"/>
      </top>
      <bottom/>
      <diagonal/>
    </border>
    <border>
      <left/>
      <right/>
      <top style="thick">
        <color auto="1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rgb="FFE2E2E2"/>
      </bottom>
      <diagonal/>
    </border>
    <border>
      <left style="thick">
        <color rgb="FF00206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rgb="FF002060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58">
    <xf numFmtId="0" fontId="0" fillId="0" borderId="0" xfId="0"/>
    <xf numFmtId="0" fontId="0" fillId="2" borderId="0" xfId="0" applyFill="1"/>
    <xf numFmtId="0" fontId="5" fillId="3" borderId="0" xfId="0" applyFont="1" applyFill="1"/>
    <xf numFmtId="0" fontId="5" fillId="2" borderId="0" xfId="0" applyFont="1" applyFill="1"/>
    <xf numFmtId="0" fontId="3" fillId="2" borderId="0" xfId="0" applyFont="1" applyFill="1"/>
    <xf numFmtId="0" fontId="0" fillId="4" borderId="0" xfId="0" applyFill="1"/>
    <xf numFmtId="0" fontId="3" fillId="5" borderId="1" xfId="0" applyFont="1" applyFill="1" applyBorder="1"/>
    <xf numFmtId="0" fontId="6" fillId="5" borderId="2" xfId="0" applyFont="1" applyFill="1" applyBorder="1"/>
    <xf numFmtId="0" fontId="6" fillId="5" borderId="3" xfId="0" applyFont="1" applyFill="1" applyBorder="1"/>
    <xf numFmtId="0" fontId="6" fillId="2" borderId="0" xfId="0" applyFont="1" applyFill="1"/>
    <xf numFmtId="0" fontId="0" fillId="2" borderId="4" xfId="0" applyFill="1" applyBorder="1"/>
    <xf numFmtId="0" fontId="0" fillId="2" borderId="5" xfId="0" applyFill="1" applyBorder="1"/>
    <xf numFmtId="0" fontId="7" fillId="5" borderId="6" xfId="0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wrapText="1"/>
    </xf>
    <xf numFmtId="0" fontId="7" fillId="5" borderId="7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right"/>
    </xf>
    <xf numFmtId="0" fontId="2" fillId="4" borderId="0" xfId="0" applyFont="1" applyFill="1"/>
    <xf numFmtId="0" fontId="0" fillId="2" borderId="9" xfId="0" applyFill="1" applyBorder="1"/>
    <xf numFmtId="0" fontId="0" fillId="2" borderId="10" xfId="0" applyFill="1" applyBorder="1"/>
    <xf numFmtId="0" fontId="8" fillId="2" borderId="9" xfId="0" applyFont="1" applyFill="1" applyBorder="1"/>
    <xf numFmtId="0" fontId="0" fillId="2" borderId="0" xfId="0" applyFill="1" applyAlignment="1">
      <alignment horizontal="center" vertical="center"/>
    </xf>
    <xf numFmtId="0" fontId="9" fillId="2" borderId="0" xfId="0" applyFont="1" applyFill="1" applyAlignment="1">
      <alignment horizontal="center"/>
    </xf>
    <xf numFmtId="0" fontId="4" fillId="2" borderId="0" xfId="2" applyFill="1" applyBorder="1" applyAlignment="1">
      <alignment horizontal="center"/>
    </xf>
    <xf numFmtId="9" fontId="0" fillId="2" borderId="0" xfId="0" applyNumberFormat="1" applyFill="1"/>
    <xf numFmtId="9" fontId="0" fillId="2" borderId="10" xfId="0" applyNumberFormat="1" applyFill="1" applyBorder="1" applyAlignment="1">
      <alignment horizontal="center"/>
    </xf>
    <xf numFmtId="16" fontId="2" fillId="4" borderId="0" xfId="0" applyNumberFormat="1" applyFont="1" applyFill="1"/>
    <xf numFmtId="0" fontId="0" fillId="6" borderId="4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5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5" xfId="0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9" fillId="2" borderId="9" xfId="0" applyFont="1" applyFill="1" applyBorder="1"/>
    <xf numFmtId="0" fontId="4" fillId="2" borderId="0" xfId="2" applyFill="1" applyBorder="1" applyAlignment="1">
      <alignment horizontal="center" vertical="center"/>
    </xf>
    <xf numFmtId="0" fontId="9" fillId="2" borderId="0" xfId="0" applyFont="1" applyFill="1"/>
    <xf numFmtId="0" fontId="8" fillId="2" borderId="9" xfId="0" applyFont="1" applyFill="1" applyBorder="1" applyAlignment="1">
      <alignment wrapText="1"/>
    </xf>
    <xf numFmtId="0" fontId="11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center" wrapText="1"/>
    </xf>
    <xf numFmtId="0" fontId="14" fillId="2" borderId="9" xfId="0" applyFont="1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3" fillId="5" borderId="0" xfId="0" applyFont="1" applyFill="1"/>
    <xf numFmtId="0" fontId="15" fillId="4" borderId="17" xfId="0" applyFont="1" applyFill="1" applyBorder="1"/>
    <xf numFmtId="0" fontId="16" fillId="4" borderId="18" xfId="0" applyFont="1" applyFill="1" applyBorder="1"/>
    <xf numFmtId="0" fontId="16" fillId="4" borderId="19" xfId="0" applyFont="1" applyFill="1" applyBorder="1"/>
    <xf numFmtId="0" fontId="7" fillId="4" borderId="20" xfId="0" applyFont="1" applyFill="1" applyBorder="1"/>
    <xf numFmtId="0" fontId="7" fillId="4" borderId="0" xfId="0" applyFont="1" applyFill="1"/>
    <xf numFmtId="0" fontId="7" fillId="4" borderId="21" xfId="0" applyFont="1" applyFill="1" applyBorder="1"/>
    <xf numFmtId="0" fontId="17" fillId="4" borderId="20" xfId="0" applyFont="1" applyFill="1" applyBorder="1"/>
    <xf numFmtId="0" fontId="6" fillId="4" borderId="0" xfId="0" applyFont="1" applyFill="1"/>
    <xf numFmtId="0" fontId="0" fillId="4" borderId="21" xfId="0" applyFill="1" applyBorder="1"/>
    <xf numFmtId="0" fontId="0" fillId="4" borderId="20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24" xfId="0" applyFill="1" applyBorder="1"/>
    <xf numFmtId="0" fontId="16" fillId="7" borderId="17" xfId="0" applyFont="1" applyFill="1" applyBorder="1"/>
    <xf numFmtId="0" fontId="16" fillId="7" borderId="18" xfId="0" applyFont="1" applyFill="1" applyBorder="1"/>
    <xf numFmtId="0" fontId="16" fillId="7" borderId="19" xfId="0" applyFont="1" applyFill="1" applyBorder="1"/>
    <xf numFmtId="0" fontId="7" fillId="7" borderId="20" xfId="0" applyFont="1" applyFill="1" applyBorder="1"/>
    <xf numFmtId="0" fontId="7" fillId="7" borderId="0" xfId="0" applyFont="1" applyFill="1"/>
    <xf numFmtId="0" fontId="7" fillId="7" borderId="21" xfId="0" applyFont="1" applyFill="1" applyBorder="1"/>
    <xf numFmtId="0" fontId="0" fillId="7" borderId="20" xfId="0" applyFill="1" applyBorder="1"/>
    <xf numFmtId="0" fontId="6" fillId="7" borderId="0" xfId="0" applyFont="1" applyFill="1"/>
    <xf numFmtId="0" fontId="0" fillId="7" borderId="21" xfId="0" applyFill="1" applyBorder="1"/>
    <xf numFmtId="0" fontId="0" fillId="7" borderId="0" xfId="0" applyFill="1"/>
    <xf numFmtId="0" fontId="0" fillId="7" borderId="22" xfId="0" applyFill="1" applyBorder="1"/>
    <xf numFmtId="0" fontId="0" fillId="7" borderId="23" xfId="0" applyFill="1" applyBorder="1"/>
    <xf numFmtId="0" fontId="0" fillId="7" borderId="24" xfId="0" applyFill="1" applyBorder="1"/>
    <xf numFmtId="0" fontId="2" fillId="2" borderId="0" xfId="0" applyFont="1" applyFill="1" applyAlignment="1">
      <alignment horizontal="center"/>
    </xf>
    <xf numFmtId="0" fontId="0" fillId="2" borderId="25" xfId="0" applyFill="1" applyBorder="1" applyAlignment="1">
      <alignment horizontal="center"/>
    </xf>
    <xf numFmtId="16" fontId="0" fillId="2" borderId="0" xfId="0" applyNumberFormat="1" applyFill="1"/>
    <xf numFmtId="17" fontId="0" fillId="2" borderId="25" xfId="0" applyNumberForma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" fontId="0" fillId="2" borderId="0" xfId="0" applyNumberFormat="1" applyFill="1" applyAlignment="1">
      <alignment horizontal="center"/>
    </xf>
    <xf numFmtId="16" fontId="0" fillId="2" borderId="25" xfId="0" applyNumberFormat="1" applyFill="1" applyBorder="1" applyAlignment="1">
      <alignment horizontal="center"/>
    </xf>
    <xf numFmtId="0" fontId="19" fillId="2" borderId="25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20" fillId="3" borderId="0" xfId="0" applyFont="1" applyFill="1"/>
    <xf numFmtId="0" fontId="21" fillId="2" borderId="0" xfId="0" applyFont="1" applyFill="1"/>
    <xf numFmtId="0" fontId="17" fillId="4" borderId="0" xfId="0" applyFont="1" applyFill="1"/>
    <xf numFmtId="0" fontId="6" fillId="5" borderId="18" xfId="0" applyFont="1" applyFill="1" applyBorder="1"/>
    <xf numFmtId="0" fontId="6" fillId="5" borderId="19" xfId="0" applyFont="1" applyFill="1" applyBorder="1"/>
    <xf numFmtId="0" fontId="6" fillId="5" borderId="0" xfId="0" applyFont="1" applyFill="1"/>
    <xf numFmtId="0" fontId="6" fillId="5" borderId="17" xfId="0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 wrapText="1"/>
    </xf>
    <xf numFmtId="0" fontId="6" fillId="5" borderId="21" xfId="0" applyFont="1" applyFill="1" applyBorder="1" applyAlignment="1">
      <alignment horizontal="center" wrapText="1"/>
    </xf>
    <xf numFmtId="0" fontId="0" fillId="2" borderId="20" xfId="0" applyFill="1" applyBorder="1"/>
    <xf numFmtId="0" fontId="0" fillId="2" borderId="21" xfId="0" applyFill="1" applyBorder="1"/>
    <xf numFmtId="0" fontId="0" fillId="8" borderId="0" xfId="0" applyFill="1"/>
    <xf numFmtId="0" fontId="8" fillId="2" borderId="20" xfId="0" applyFont="1" applyFill="1" applyBorder="1"/>
    <xf numFmtId="0" fontId="0" fillId="8" borderId="0" xfId="0" applyFill="1" applyAlignment="1">
      <alignment horizontal="center"/>
    </xf>
    <xf numFmtId="9" fontId="0" fillId="2" borderId="21" xfId="0" applyNumberFormat="1" applyFill="1" applyBorder="1"/>
    <xf numFmtId="0" fontId="22" fillId="6" borderId="20" xfId="0" applyFont="1" applyFill="1" applyBorder="1" applyAlignment="1">
      <alignment horizontal="center"/>
    </xf>
    <xf numFmtId="0" fontId="22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0" fontId="22" fillId="6" borderId="21" xfId="0" applyFont="1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4" fillId="2" borderId="0" xfId="2" applyFill="1" applyBorder="1"/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10" fontId="23" fillId="2" borderId="26" xfId="0" applyNumberFormat="1" applyFont="1" applyFill="1" applyBorder="1" applyAlignment="1">
      <alignment horizontal="center" vertical="center" wrapText="1"/>
    </xf>
    <xf numFmtId="10" fontId="23" fillId="2" borderId="0" xfId="0" applyNumberFormat="1" applyFont="1" applyFill="1" applyAlignment="1">
      <alignment horizontal="center" vertical="center" wrapText="1"/>
    </xf>
    <xf numFmtId="10" fontId="22" fillId="2" borderId="0" xfId="0" applyNumberFormat="1" applyFont="1" applyFill="1" applyAlignment="1">
      <alignment horizontal="center"/>
    </xf>
    <xf numFmtId="9" fontId="22" fillId="2" borderId="0" xfId="0" applyNumberFormat="1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10" fontId="23" fillId="9" borderId="0" xfId="0" applyNumberFormat="1" applyFont="1" applyFill="1" applyAlignment="1">
      <alignment horizontal="center" vertical="center" wrapText="1"/>
    </xf>
    <xf numFmtId="10" fontId="23" fillId="9" borderId="27" xfId="0" applyNumberFormat="1" applyFont="1" applyFill="1" applyBorder="1" applyAlignment="1">
      <alignment horizontal="center" vertical="center" wrapText="1"/>
    </xf>
    <xf numFmtId="10" fontId="4" fillId="2" borderId="20" xfId="2" applyNumberFormat="1" applyFill="1" applyBorder="1" applyAlignment="1">
      <alignment horizontal="center"/>
    </xf>
    <xf numFmtId="10" fontId="4" fillId="2" borderId="0" xfId="2" applyNumberFormat="1" applyFill="1" applyBorder="1" applyAlignment="1">
      <alignment horizontal="center"/>
    </xf>
    <xf numFmtId="10" fontId="4" fillId="0" borderId="0" xfId="2" applyNumberFormat="1" applyBorder="1" applyAlignment="1">
      <alignment horizontal="center"/>
    </xf>
    <xf numFmtId="10" fontId="4" fillId="0" borderId="21" xfId="2" applyNumberFormat="1" applyBorder="1" applyAlignment="1">
      <alignment horizontal="center"/>
    </xf>
    <xf numFmtId="10" fontId="0" fillId="8" borderId="0" xfId="0" applyNumberFormat="1" applyFill="1" applyAlignment="1">
      <alignment horizontal="center"/>
    </xf>
    <xf numFmtId="0" fontId="3" fillId="5" borderId="20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21" xfId="0" applyFont="1" applyFill="1" applyBorder="1" applyAlignment="1">
      <alignment horizontal="center"/>
    </xf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6" fillId="5" borderId="28" xfId="0" applyFont="1" applyFill="1" applyBorder="1"/>
    <xf numFmtId="0" fontId="3" fillId="5" borderId="22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0" fontId="24" fillId="5" borderId="0" xfId="0" applyFont="1" applyFill="1"/>
    <xf numFmtId="0" fontId="0" fillId="5" borderId="0" xfId="0" applyFill="1"/>
    <xf numFmtId="0" fontId="0" fillId="10" borderId="0" xfId="0" applyFill="1"/>
    <xf numFmtId="0" fontId="6" fillId="2" borderId="0" xfId="0" applyFont="1" applyFill="1" applyAlignment="1">
      <alignment horizontal="left" indent="7"/>
    </xf>
    <xf numFmtId="0" fontId="25" fillId="10" borderId="0" xfId="0" applyFont="1" applyFill="1" applyAlignment="1">
      <alignment horizontal="left" indent="7"/>
    </xf>
    <xf numFmtId="0" fontId="26" fillId="10" borderId="0" xfId="0" applyFont="1" applyFill="1"/>
    <xf numFmtId="9" fontId="0" fillId="2" borderId="25" xfId="0" applyNumberForma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16" fontId="0" fillId="2" borderId="25" xfId="0" applyNumberFormat="1" applyFill="1" applyBorder="1" applyAlignment="1">
      <alignment horizontal="center" vertical="center"/>
    </xf>
    <xf numFmtId="0" fontId="27" fillId="2" borderId="0" xfId="0" applyFont="1" applyFill="1"/>
    <xf numFmtId="0" fontId="28" fillId="2" borderId="0" xfId="0" applyFont="1" applyFill="1"/>
    <xf numFmtId="10" fontId="0" fillId="2" borderId="25" xfId="0" applyNumberFormat="1" applyFill="1" applyBorder="1" applyAlignment="1">
      <alignment horizontal="center" vertical="center"/>
    </xf>
    <xf numFmtId="164" fontId="0" fillId="2" borderId="25" xfId="0" applyNumberFormat="1" applyFill="1" applyBorder="1" applyAlignment="1">
      <alignment horizontal="center" vertical="center"/>
    </xf>
    <xf numFmtId="0" fontId="2" fillId="2" borderId="0" xfId="0" applyFont="1" applyFill="1"/>
    <xf numFmtId="17" fontId="0" fillId="2" borderId="0" xfId="0" applyNumberFormat="1" applyFill="1"/>
    <xf numFmtId="0" fontId="13" fillId="2" borderId="0" xfId="0" applyFont="1" applyFill="1" applyAlignment="1">
      <alignment horizontal="center" vertical="center"/>
    </xf>
    <xf numFmtId="0" fontId="14" fillId="2" borderId="0" xfId="0" applyFont="1" applyFill="1"/>
    <xf numFmtId="10" fontId="0" fillId="2" borderId="0" xfId="0" applyNumberFormat="1" applyFill="1"/>
    <xf numFmtId="0" fontId="29" fillId="5" borderId="0" xfId="0" applyFont="1" applyFill="1"/>
    <xf numFmtId="0" fontId="29" fillId="2" borderId="0" xfId="0" applyFont="1" applyFill="1"/>
    <xf numFmtId="0" fontId="30" fillId="2" borderId="0" xfId="0" applyFont="1" applyFill="1"/>
    <xf numFmtId="0" fontId="30" fillId="2" borderId="29" xfId="0" applyFont="1" applyFill="1" applyBorder="1"/>
    <xf numFmtId="17" fontId="30" fillId="0" borderId="29" xfId="0" applyNumberFormat="1" applyFont="1" applyBorder="1" applyAlignment="1">
      <alignment horizontal="right" vertical="center" wrapText="1"/>
    </xf>
    <xf numFmtId="0" fontId="17" fillId="2" borderId="0" xfId="0" applyFont="1" applyFill="1"/>
    <xf numFmtId="0" fontId="30" fillId="2" borderId="23" xfId="0" applyFont="1" applyFill="1" applyBorder="1"/>
    <xf numFmtId="4" fontId="31" fillId="9" borderId="30" xfId="0" applyNumberFormat="1" applyFont="1" applyFill="1" applyBorder="1" applyAlignment="1">
      <alignment horizontal="center" vertical="center" wrapText="1"/>
    </xf>
    <xf numFmtId="4" fontId="31" fillId="9" borderId="31" xfId="0" applyNumberFormat="1" applyFont="1" applyFill="1" applyBorder="1" applyAlignment="1">
      <alignment horizontal="center" vertical="center" wrapText="1"/>
    </xf>
    <xf numFmtId="4" fontId="31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 wrapText="1"/>
    </xf>
    <xf numFmtId="17" fontId="30" fillId="0" borderId="0" xfId="0" applyNumberFormat="1" applyFont="1" applyAlignment="1">
      <alignment horizontal="right" vertical="center" wrapText="1"/>
    </xf>
    <xf numFmtId="10" fontId="1" fillId="2" borderId="0" xfId="1" applyNumberFormat="1" applyFont="1" applyFill="1"/>
    <xf numFmtId="10" fontId="1" fillId="2" borderId="0" xfId="0" applyNumberFormat="1" applyFont="1" applyFill="1"/>
    <xf numFmtId="9" fontId="0" fillId="2" borderId="0" xfId="1" applyFont="1" applyFill="1"/>
    <xf numFmtId="4" fontId="31" fillId="9" borderId="0" xfId="0" applyNumberFormat="1" applyFont="1" applyFill="1" applyAlignment="1">
      <alignment horizontal="center" vertical="center" wrapText="1"/>
    </xf>
    <xf numFmtId="10" fontId="1" fillId="2" borderId="32" xfId="1" applyNumberFormat="1" applyFont="1" applyFill="1" applyBorder="1"/>
    <xf numFmtId="10" fontId="1" fillId="2" borderId="32" xfId="0" applyNumberFormat="1" applyFont="1" applyFill="1" applyBorder="1"/>
    <xf numFmtId="0" fontId="17" fillId="2" borderId="33" xfId="0" applyFont="1" applyFill="1" applyBorder="1"/>
    <xf numFmtId="4" fontId="32" fillId="2" borderId="33" xfId="0" applyNumberFormat="1" applyFont="1" applyFill="1" applyBorder="1" applyAlignment="1">
      <alignment horizontal="center" vertical="center" wrapText="1"/>
    </xf>
    <xf numFmtId="4" fontId="32" fillId="2" borderId="33" xfId="0" applyNumberFormat="1" applyFont="1" applyFill="1" applyBorder="1" applyAlignment="1">
      <alignment horizontal="center" vertical="center"/>
    </xf>
    <xf numFmtId="9" fontId="1" fillId="2" borderId="0" xfId="1" applyFont="1" applyFill="1"/>
    <xf numFmtId="0" fontId="0" fillId="2" borderId="32" xfId="0" applyFill="1" applyBorder="1"/>
    <xf numFmtId="0" fontId="31" fillId="2" borderId="32" xfId="0" applyFont="1" applyFill="1" applyBorder="1" applyAlignment="1">
      <alignment horizontal="center" vertical="center" wrapText="1"/>
    </xf>
    <xf numFmtId="9" fontId="1" fillId="2" borderId="32" xfId="1" applyFont="1" applyFill="1" applyBorder="1"/>
    <xf numFmtId="4" fontId="9" fillId="2" borderId="0" xfId="0" applyNumberFormat="1" applyFont="1" applyFill="1" applyAlignment="1">
      <alignment horizontal="center" vertical="center"/>
    </xf>
    <xf numFmtId="10" fontId="1" fillId="2" borderId="23" xfId="0" applyNumberFormat="1" applyFont="1" applyFill="1" applyBorder="1"/>
    <xf numFmtId="10" fontId="1" fillId="2" borderId="23" xfId="1" applyNumberFormat="1" applyFont="1" applyFill="1" applyBorder="1"/>
    <xf numFmtId="9" fontId="1" fillId="2" borderId="23" xfId="1" applyFont="1" applyFill="1" applyBorder="1"/>
    <xf numFmtId="0" fontId="0" fillId="2" borderId="34" xfId="0" applyFill="1" applyBorder="1"/>
    <xf numFmtId="0" fontId="31" fillId="2" borderId="34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3" fillId="9" borderId="0" xfId="0" applyFont="1" applyFill="1" applyAlignment="1">
      <alignment horizontal="center" vertical="center" wrapText="1"/>
    </xf>
    <xf numFmtId="0" fontId="34" fillId="5" borderId="35" xfId="0" applyFont="1" applyFill="1" applyBorder="1" applyAlignment="1">
      <alignment horizontal="center" vertical="center" wrapText="1"/>
    </xf>
    <xf numFmtId="0" fontId="31" fillId="2" borderId="0" xfId="0" applyFont="1" applyFill="1" applyAlignment="1">
      <alignment horizontal="center" vertical="center" wrapText="1"/>
    </xf>
    <xf numFmtId="0" fontId="0" fillId="2" borderId="36" xfId="0" applyFill="1" applyBorder="1"/>
    <xf numFmtId="3" fontId="9" fillId="0" borderId="36" xfId="0" applyNumberFormat="1" applyFont="1" applyBorder="1" applyAlignment="1">
      <alignment horizontal="center" vertical="center" wrapText="1"/>
    </xf>
    <xf numFmtId="3" fontId="9" fillId="2" borderId="12" xfId="0" applyNumberFormat="1" applyFont="1" applyFill="1" applyBorder="1" applyAlignment="1">
      <alignment horizontal="center" vertical="center"/>
    </xf>
    <xf numFmtId="10" fontId="1" fillId="2" borderId="12" xfId="0" applyNumberFormat="1" applyFont="1" applyFill="1" applyBorder="1"/>
    <xf numFmtId="10" fontId="1" fillId="2" borderId="12" xfId="1" applyNumberFormat="1" applyFont="1" applyFill="1" applyBorder="1"/>
    <xf numFmtId="9" fontId="1" fillId="2" borderId="12" xfId="1" applyFont="1" applyFill="1" applyBorder="1"/>
    <xf numFmtId="4" fontId="31" fillId="9" borderId="31" xfId="0" applyNumberFormat="1" applyFont="1" applyFill="1" applyBorder="1" applyAlignment="1">
      <alignment horizontal="right" vertical="top" wrapText="1"/>
    </xf>
    <xf numFmtId="10" fontId="35" fillId="2" borderId="0" xfId="0" applyNumberFormat="1" applyFont="1" applyFill="1"/>
    <xf numFmtId="0" fontId="30" fillId="2" borderId="37" xfId="0" applyFont="1" applyFill="1" applyBorder="1"/>
    <xf numFmtId="0" fontId="30" fillId="2" borderId="36" xfId="0" applyFont="1" applyFill="1" applyBorder="1"/>
    <xf numFmtId="0" fontId="30" fillId="2" borderId="38" xfId="0" applyFont="1" applyFill="1" applyBorder="1"/>
    <xf numFmtId="0" fontId="6" fillId="5" borderId="39" xfId="0" applyFont="1" applyFill="1" applyBorder="1"/>
    <xf numFmtId="0" fontId="6" fillId="5" borderId="40" xfId="0" applyFont="1" applyFill="1" applyBorder="1"/>
    <xf numFmtId="0" fontId="6" fillId="5" borderId="40" xfId="0" applyFont="1" applyFill="1" applyBorder="1" applyAlignment="1">
      <alignment horizontal="center"/>
    </xf>
    <xf numFmtId="0" fontId="6" fillId="5" borderId="40" xfId="0" applyFont="1" applyFill="1" applyBorder="1" applyAlignment="1">
      <alignment horizontal="right" vertical="center"/>
    </xf>
    <xf numFmtId="0" fontId="6" fillId="5" borderId="41" xfId="0" applyFont="1" applyFill="1" applyBorder="1"/>
    <xf numFmtId="0" fontId="30" fillId="2" borderId="42" xfId="0" applyFont="1" applyFill="1" applyBorder="1"/>
    <xf numFmtId="0" fontId="30" fillId="2" borderId="43" xfId="0" applyFont="1" applyFill="1" applyBorder="1"/>
    <xf numFmtId="0" fontId="3" fillId="5" borderId="0" xfId="0" applyFont="1" applyFill="1" applyAlignment="1">
      <alignment horizontal="center" vertical="center"/>
    </xf>
    <xf numFmtId="0" fontId="17" fillId="2" borderId="44" xfId="0" applyFont="1" applyFill="1" applyBorder="1" applyAlignment="1">
      <alignment horizontal="center"/>
    </xf>
    <xf numFmtId="0" fontId="17" fillId="2" borderId="0" xfId="0" applyFont="1" applyFill="1" applyAlignment="1">
      <alignment horizontal="center"/>
    </xf>
    <xf numFmtId="9" fontId="9" fillId="2" borderId="0" xfId="0" applyNumberFormat="1" applyFont="1" applyFill="1"/>
    <xf numFmtId="0" fontId="9" fillId="2" borderId="45" xfId="0" applyFont="1" applyFill="1" applyBorder="1"/>
    <xf numFmtId="0" fontId="0" fillId="2" borderId="44" xfId="0" applyFill="1" applyBorder="1"/>
    <xf numFmtId="0" fontId="0" fillId="2" borderId="45" xfId="0" applyFill="1" applyBorder="1"/>
    <xf numFmtId="9" fontId="9" fillId="2" borderId="0" xfId="0" applyNumberFormat="1" applyFont="1" applyFill="1" applyAlignment="1">
      <alignment horizontal="center"/>
    </xf>
    <xf numFmtId="0" fontId="36" fillId="2" borderId="0" xfId="0" applyFont="1" applyFill="1" applyAlignment="1">
      <alignment horizontal="right" vertical="center"/>
    </xf>
    <xf numFmtId="0" fontId="36" fillId="2" borderId="0" xfId="0" applyFont="1" applyFill="1"/>
    <xf numFmtId="0" fontId="36" fillId="2" borderId="45" xfId="0" applyFont="1" applyFill="1" applyBorder="1"/>
    <xf numFmtId="9" fontId="0" fillId="2" borderId="44" xfId="1" applyFont="1" applyFill="1" applyBorder="1"/>
    <xf numFmtId="9" fontId="0" fillId="2" borderId="0" xfId="1" applyFont="1" applyFill="1" applyBorder="1"/>
    <xf numFmtId="9" fontId="0" fillId="2" borderId="45" xfId="1" applyFont="1" applyFill="1" applyBorder="1"/>
    <xf numFmtId="10" fontId="31" fillId="2" borderId="0" xfId="1" applyNumberFormat="1" applyFont="1" applyFill="1" applyBorder="1" applyAlignment="1">
      <alignment horizontal="right" vertical="top" wrapText="1"/>
    </xf>
    <xf numFmtId="10" fontId="31" fillId="2" borderId="0" xfId="1" applyNumberFormat="1" applyFont="1" applyFill="1" applyBorder="1"/>
    <xf numFmtId="10" fontId="31" fillId="2" borderId="45" xfId="1" applyNumberFormat="1" applyFont="1" applyFill="1" applyBorder="1"/>
    <xf numFmtId="0" fontId="31" fillId="2" borderId="0" xfId="0" applyFont="1" applyFill="1" applyAlignment="1">
      <alignment horizontal="right" vertical="top" wrapText="1"/>
    </xf>
    <xf numFmtId="10" fontId="37" fillId="2" borderId="0" xfId="1" applyNumberFormat="1" applyFont="1" applyFill="1" applyBorder="1" applyAlignment="1">
      <alignment horizontal="right" vertical="center" wrapText="1"/>
    </xf>
    <xf numFmtId="10" fontId="38" fillId="2" borderId="0" xfId="0" applyNumberFormat="1" applyFont="1" applyFill="1" applyAlignment="1">
      <alignment horizontal="right" vertical="center" wrapText="1"/>
    </xf>
    <xf numFmtId="10" fontId="31" fillId="2" borderId="45" xfId="0" applyNumberFormat="1" applyFont="1" applyFill="1" applyBorder="1" applyAlignment="1">
      <alignment wrapText="1"/>
    </xf>
    <xf numFmtId="10" fontId="31" fillId="2" borderId="0" xfId="0" applyNumberFormat="1" applyFont="1" applyFill="1" applyAlignment="1">
      <alignment wrapText="1"/>
    </xf>
    <xf numFmtId="0" fontId="37" fillId="2" borderId="0" xfId="0" applyFont="1" applyFill="1" applyAlignment="1">
      <alignment horizontal="right" vertical="center" wrapText="1"/>
    </xf>
    <xf numFmtId="0" fontId="9" fillId="2" borderId="44" xfId="0" applyFont="1" applyFill="1" applyBorder="1"/>
    <xf numFmtId="0" fontId="39" fillId="2" borderId="0" xfId="0" applyFont="1" applyFill="1"/>
    <xf numFmtId="0" fontId="31" fillId="2" borderId="45" xfId="0" applyFont="1" applyFill="1" applyBorder="1"/>
    <xf numFmtId="0" fontId="31" fillId="2" borderId="0" xfId="0" applyFont="1" applyFill="1"/>
    <xf numFmtId="0" fontId="17" fillId="2" borderId="44" xfId="0" applyFont="1" applyFill="1" applyBorder="1"/>
    <xf numFmtId="10" fontId="31" fillId="2" borderId="0" xfId="0" applyNumberFormat="1" applyFont="1" applyFill="1"/>
    <xf numFmtId="10" fontId="31" fillId="2" borderId="45" xfId="0" applyNumberFormat="1" applyFont="1" applyFill="1" applyBorder="1"/>
    <xf numFmtId="9" fontId="0" fillId="2" borderId="0" xfId="0" applyNumberFormat="1" applyFill="1" applyAlignment="1">
      <alignment horizontal="center"/>
    </xf>
    <xf numFmtId="0" fontId="31" fillId="2" borderId="45" xfId="0" applyFont="1" applyFill="1" applyBorder="1" applyAlignment="1">
      <alignment horizontal="right" vertical="top" wrapText="1"/>
    </xf>
    <xf numFmtId="9" fontId="0" fillId="2" borderId="0" xfId="1" applyFont="1" applyFill="1" applyBorder="1" applyAlignment="1">
      <alignment horizontal="right"/>
    </xf>
    <xf numFmtId="0" fontId="40" fillId="2" borderId="0" xfId="0" applyFont="1" applyFill="1"/>
    <xf numFmtId="0" fontId="9" fillId="2" borderId="0" xfId="0" applyFont="1" applyFill="1" applyAlignment="1">
      <alignment horizontal="center" wrapText="1"/>
    </xf>
    <xf numFmtId="10" fontId="31" fillId="2" borderId="0" xfId="0" applyNumberFormat="1" applyFont="1" applyFill="1" applyAlignment="1">
      <alignment horizontal="center" vertical="center" wrapText="1"/>
    </xf>
    <xf numFmtId="10" fontId="31" fillId="2" borderId="0" xfId="0" applyNumberFormat="1" applyFont="1" applyFill="1" applyAlignment="1">
      <alignment horizontal="right" vertical="center" wrapText="1"/>
    </xf>
    <xf numFmtId="10" fontId="31" fillId="2" borderId="0" xfId="0" applyNumberFormat="1" applyFont="1" applyFill="1" applyAlignment="1">
      <alignment vertical="center"/>
    </xf>
    <xf numFmtId="10" fontId="31" fillId="2" borderId="45" xfId="0" applyNumberFormat="1" applyFont="1" applyFill="1" applyBorder="1" applyAlignment="1">
      <alignment vertical="center"/>
    </xf>
    <xf numFmtId="0" fontId="0" fillId="2" borderId="46" xfId="0" applyFill="1" applyBorder="1"/>
    <xf numFmtId="0" fontId="0" fillId="2" borderId="47" xfId="0" applyFill="1" applyBorder="1"/>
    <xf numFmtId="9" fontId="0" fillId="2" borderId="47" xfId="0" applyNumberFormat="1" applyFill="1" applyBorder="1" applyAlignment="1">
      <alignment horizontal="center"/>
    </xf>
    <xf numFmtId="0" fontId="31" fillId="2" borderId="47" xfId="0" applyFont="1" applyFill="1" applyBorder="1" applyAlignment="1">
      <alignment horizontal="right" vertical="top" wrapText="1"/>
    </xf>
    <xf numFmtId="0" fontId="31" fillId="2" borderId="47" xfId="0" applyFont="1" applyFill="1" applyBorder="1"/>
    <xf numFmtId="0" fontId="31" fillId="2" borderId="48" xfId="0" applyFont="1" applyFill="1" applyBorder="1"/>
    <xf numFmtId="9" fontId="0" fillId="2" borderId="46" xfId="1" applyFont="1" applyFill="1" applyBorder="1"/>
    <xf numFmtId="9" fontId="0" fillId="2" borderId="47" xfId="1" applyFont="1" applyFill="1" applyBorder="1"/>
    <xf numFmtId="9" fontId="0" fillId="2" borderId="48" xfId="1" applyFont="1" applyFill="1" applyBorder="1"/>
    <xf numFmtId="9" fontId="0" fillId="8" borderId="0" xfId="0" applyNumberFormat="1" applyFill="1"/>
    <xf numFmtId="0" fontId="41" fillId="2" borderId="0" xfId="0" applyFont="1" applyFill="1"/>
    <xf numFmtId="0" fontId="42" fillId="2" borderId="0" xfId="0" applyFont="1" applyFill="1"/>
    <xf numFmtId="0" fontId="43" fillId="9" borderId="0" xfId="0" applyFont="1" applyFill="1" applyAlignment="1">
      <alignment vertical="center" wrapText="1"/>
    </xf>
    <xf numFmtId="0" fontId="44" fillId="9" borderId="0" xfId="0" applyFont="1" applyFill="1" applyAlignment="1">
      <alignment vertical="center" wrapText="1"/>
    </xf>
    <xf numFmtId="10" fontId="44" fillId="9" borderId="0" xfId="0" applyNumberFormat="1" applyFont="1" applyFill="1" applyAlignment="1">
      <alignment vertical="center" wrapText="1"/>
    </xf>
    <xf numFmtId="0" fontId="0" fillId="9" borderId="0" xfId="0" applyFill="1"/>
    <xf numFmtId="10" fontId="0" fillId="0" borderId="0" xfId="0" applyNumberFormat="1"/>
    <xf numFmtId="10" fontId="31" fillId="0" borderId="0" xfId="0" applyNumberFormat="1" applyFont="1"/>
    <xf numFmtId="10" fontId="43" fillId="9" borderId="0" xfId="0" applyNumberFormat="1" applyFont="1" applyFill="1" applyAlignment="1">
      <alignment vertical="center" wrapText="1"/>
    </xf>
    <xf numFmtId="10" fontId="31" fillId="0" borderId="0" xfId="1" applyNumberFormat="1" applyFont="1"/>
    <xf numFmtId="10" fontId="31" fillId="9" borderId="31" xfId="0" applyNumberFormat="1" applyFont="1" applyFill="1" applyBorder="1" applyAlignment="1">
      <alignment horizontal="right" vertical="top" wrapText="1"/>
    </xf>
    <xf numFmtId="10" fontId="31" fillId="9" borderId="31" xfId="1" applyNumberFormat="1" applyFont="1" applyFill="1" applyBorder="1" applyAlignment="1">
      <alignment horizontal="right" vertical="top" wrapText="1"/>
    </xf>
    <xf numFmtId="0" fontId="45" fillId="0" borderId="0" xfId="0" applyFont="1" applyAlignment="1">
      <alignment horizontal="right" vertical="top" wrapText="1"/>
    </xf>
    <xf numFmtId="17" fontId="32" fillId="11" borderId="31" xfId="0" applyNumberFormat="1" applyFont="1" applyFill="1" applyBorder="1" applyAlignment="1">
      <alignment horizontal="right" vertical="top" wrapText="1"/>
    </xf>
    <xf numFmtId="17" fontId="0" fillId="0" borderId="0" xfId="0" applyNumberFormat="1"/>
    <xf numFmtId="9" fontId="0" fillId="0" borderId="0" xfId="1" applyFont="1"/>
    <xf numFmtId="0" fontId="31" fillId="9" borderId="31" xfId="0" applyFont="1" applyFill="1" applyBorder="1" applyAlignment="1">
      <alignment horizontal="right" vertical="top" wrapText="1"/>
    </xf>
    <xf numFmtId="0" fontId="31" fillId="9" borderId="0" xfId="0" applyFont="1" applyFill="1" applyAlignment="1">
      <alignment horizontal="right" vertical="top" wrapText="1"/>
    </xf>
    <xf numFmtId="0" fontId="31" fillId="0" borderId="0" xfId="0" applyFont="1"/>
    <xf numFmtId="10" fontId="46" fillId="0" borderId="49" xfId="0" applyNumberFormat="1" applyFont="1" applyBorder="1" applyAlignment="1">
      <alignment vertical="center" wrapText="1"/>
    </xf>
    <xf numFmtId="9" fontId="31" fillId="9" borderId="31" xfId="0" applyNumberFormat="1" applyFont="1" applyFill="1" applyBorder="1" applyAlignment="1">
      <alignment horizontal="right" vertical="top" wrapText="1"/>
    </xf>
    <xf numFmtId="10" fontId="46" fillId="0" borderId="0" xfId="0" applyNumberFormat="1" applyFont="1"/>
    <xf numFmtId="10" fontId="31" fillId="9" borderId="0" xfId="0" applyNumberFormat="1" applyFont="1" applyFill="1" applyAlignment="1">
      <alignment horizontal="right" vertical="top" wrapText="1"/>
    </xf>
    <xf numFmtId="9" fontId="0" fillId="0" borderId="0" xfId="0" applyNumberFormat="1"/>
    <xf numFmtId="9" fontId="31" fillId="9" borderId="31" xfId="1" applyFont="1" applyFill="1" applyBorder="1" applyAlignment="1">
      <alignment horizontal="right" vertical="top" wrapText="1"/>
    </xf>
    <xf numFmtId="0" fontId="42" fillId="2" borderId="0" xfId="0" applyFont="1" applyFill="1" applyAlignment="1">
      <alignment horizontal="left" indent="7"/>
    </xf>
    <xf numFmtId="0" fontId="42" fillId="2" borderId="0" xfId="0" applyFont="1" applyFill="1" applyAlignment="1">
      <alignment horizontal="left" indent="4"/>
    </xf>
    <xf numFmtId="0" fontId="47" fillId="2" borderId="0" xfId="0" applyFont="1" applyFill="1" applyAlignment="1">
      <alignment horizontal="left" indent="11"/>
    </xf>
    <xf numFmtId="0" fontId="26" fillId="2" borderId="0" xfId="0" applyFont="1" applyFill="1"/>
    <xf numFmtId="0" fontId="7" fillId="5" borderId="17" xfId="0" applyFont="1" applyFill="1" applyBorder="1" applyAlignment="1">
      <alignment horizontal="left" indent="3"/>
    </xf>
    <xf numFmtId="0" fontId="7" fillId="5" borderId="18" xfId="0" applyFont="1" applyFill="1" applyBorder="1" applyAlignment="1">
      <alignment horizontal="left" indent="3"/>
    </xf>
    <xf numFmtId="0" fontId="48" fillId="5" borderId="18" xfId="0" applyFont="1" applyFill="1" applyBorder="1" applyAlignment="1">
      <alignment horizontal="left" indent="3"/>
    </xf>
    <xf numFmtId="0" fontId="49" fillId="5" borderId="18" xfId="0" applyFont="1" applyFill="1" applyBorder="1" applyAlignment="1">
      <alignment horizontal="left" indent="3"/>
    </xf>
    <xf numFmtId="0" fontId="49" fillId="5" borderId="19" xfId="0" applyFont="1" applyFill="1" applyBorder="1"/>
    <xf numFmtId="0" fontId="7" fillId="5" borderId="17" xfId="0" applyFont="1" applyFill="1" applyBorder="1" applyAlignment="1">
      <alignment horizontal="left" indent="1"/>
    </xf>
    <xf numFmtId="0" fontId="48" fillId="5" borderId="18" xfId="0" applyFont="1" applyFill="1" applyBorder="1" applyAlignment="1">
      <alignment horizontal="left" indent="5"/>
    </xf>
    <xf numFmtId="0" fontId="48" fillId="5" borderId="18" xfId="0" applyFont="1" applyFill="1" applyBorder="1" applyAlignment="1">
      <alignment horizontal="left" indent="1"/>
    </xf>
    <xf numFmtId="0" fontId="0" fillId="5" borderId="18" xfId="0" applyFill="1" applyBorder="1" applyAlignment="1">
      <alignment horizontal="left" indent="1"/>
    </xf>
    <xf numFmtId="0" fontId="0" fillId="5" borderId="19" xfId="0" applyFill="1" applyBorder="1"/>
    <xf numFmtId="0" fontId="48" fillId="2" borderId="0" xfId="0" applyFont="1" applyFill="1"/>
    <xf numFmtId="0" fontId="7" fillId="5" borderId="17" xfId="0" applyFont="1" applyFill="1" applyBorder="1" applyAlignment="1">
      <alignment horizontal="left" indent="5"/>
    </xf>
    <xf numFmtId="0" fontId="0" fillId="5" borderId="18" xfId="0" applyFill="1" applyBorder="1" applyAlignment="1">
      <alignment horizontal="left" indent="5"/>
    </xf>
    <xf numFmtId="0" fontId="49" fillId="5" borderId="20" xfId="0" applyFont="1" applyFill="1" applyBorder="1"/>
    <xf numFmtId="0" fontId="49" fillId="5" borderId="0" xfId="0" applyFont="1" applyFill="1"/>
    <xf numFmtId="0" fontId="49" fillId="5" borderId="21" xfId="0" applyFont="1" applyFill="1" applyBorder="1"/>
    <xf numFmtId="0" fontId="0" fillId="5" borderId="20" xfId="0" applyFill="1" applyBorder="1"/>
    <xf numFmtId="0" fontId="0" fillId="5" borderId="21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50" fillId="2" borderId="50" xfId="0" applyFont="1" applyFill="1" applyBorder="1"/>
    <xf numFmtId="0" fontId="50" fillId="2" borderId="51" xfId="0" applyFont="1" applyFill="1" applyBorder="1"/>
    <xf numFmtId="9" fontId="2" fillId="2" borderId="51" xfId="0" applyNumberFormat="1" applyFont="1" applyFill="1" applyBorder="1"/>
    <xf numFmtId="0" fontId="0" fillId="2" borderId="52" xfId="0" applyFill="1" applyBorder="1"/>
    <xf numFmtId="0" fontId="51" fillId="2" borderId="51" xfId="0" applyFont="1" applyFill="1" applyBorder="1"/>
    <xf numFmtId="0" fontId="2" fillId="2" borderId="51" xfId="0" applyFont="1" applyFill="1" applyBorder="1" applyAlignment="1">
      <alignment horizontal="center"/>
    </xf>
    <xf numFmtId="0" fontId="52" fillId="2" borderId="20" xfId="0" applyFont="1" applyFill="1" applyBorder="1"/>
    <xf numFmtId="0" fontId="53" fillId="2" borderId="0" xfId="0" applyFont="1" applyFill="1" applyAlignment="1">
      <alignment horizontal="left" indent="7"/>
    </xf>
    <xf numFmtId="0" fontId="53" fillId="2" borderId="0" xfId="0" applyFont="1" applyFill="1" applyAlignment="1">
      <alignment horizontal="left"/>
    </xf>
    <xf numFmtId="0" fontId="54" fillId="2" borderId="21" xfId="0" applyFont="1" applyFill="1" applyBorder="1" applyAlignment="1">
      <alignment horizontal="left"/>
    </xf>
    <xf numFmtId="0" fontId="50" fillId="2" borderId="22" xfId="0" applyFont="1" applyFill="1" applyBorder="1"/>
    <xf numFmtId="0" fontId="50" fillId="2" borderId="23" xfId="0" applyFont="1" applyFill="1" applyBorder="1"/>
    <xf numFmtId="9" fontId="2" fillId="2" borderId="23" xfId="0" applyNumberFormat="1" applyFont="1" applyFill="1" applyBorder="1"/>
    <xf numFmtId="0" fontId="2" fillId="2" borderId="23" xfId="0" applyFont="1" applyFill="1" applyBorder="1" applyAlignment="1">
      <alignment horizontal="center"/>
    </xf>
    <xf numFmtId="0" fontId="0" fillId="2" borderId="0" xfId="0" applyFill="1" applyBorder="1"/>
    <xf numFmtId="0" fontId="6" fillId="5" borderId="0" xfId="0" applyFont="1" applyFill="1" applyBorder="1" applyAlignment="1">
      <alignment wrapText="1"/>
    </xf>
    <xf numFmtId="0" fontId="17" fillId="2" borderId="0" xfId="0" applyFont="1" applyFill="1" applyBorder="1" applyAlignment="1">
      <alignment horizontal="center"/>
    </xf>
    <xf numFmtId="9" fontId="9" fillId="2" borderId="0" xfId="0" applyNumberFormat="1" applyFont="1" applyFill="1" applyBorder="1"/>
    <xf numFmtId="0" fontId="9" fillId="2" borderId="0" xfId="0" applyFont="1" applyFill="1" applyBorder="1"/>
    <xf numFmtId="0" fontId="9" fillId="2" borderId="0" xfId="0" applyFont="1" applyFill="1" applyBorder="1" applyAlignment="1">
      <alignment horizontal="center"/>
    </xf>
    <xf numFmtId="9" fontId="9" fillId="2" borderId="0" xfId="0" applyNumberFormat="1" applyFont="1" applyFill="1" applyBorder="1" applyAlignment="1">
      <alignment horizontal="center"/>
    </xf>
    <xf numFmtId="10" fontId="0" fillId="2" borderId="0" xfId="0" applyNumberFormat="1" applyFill="1" applyBorder="1"/>
    <xf numFmtId="0" fontId="17" fillId="2" borderId="0" xfId="0" applyFont="1" applyFill="1" applyBorder="1"/>
    <xf numFmtId="9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9" fontId="0" fillId="2" borderId="0" xfId="0" applyNumberFormat="1" applyFill="1" applyBorder="1"/>
    <xf numFmtId="0" fontId="9" fillId="2" borderId="0" xfId="0" applyFont="1" applyFill="1" applyBorder="1" applyAlignment="1">
      <alignment horizontal="center" wrapText="1"/>
    </xf>
    <xf numFmtId="0" fontId="0" fillId="2" borderId="53" xfId="0" applyFill="1" applyBorder="1"/>
    <xf numFmtId="0" fontId="6" fillId="5" borderId="17" xfId="0" applyFont="1" applyFill="1" applyBorder="1"/>
    <xf numFmtId="0" fontId="6" fillId="5" borderId="18" xfId="0" applyFont="1" applyFill="1" applyBorder="1" applyAlignment="1">
      <alignment wrapText="1"/>
    </xf>
    <xf numFmtId="0" fontId="17" fillId="2" borderId="20" xfId="0" applyFont="1" applyFill="1" applyBorder="1" applyAlignment="1">
      <alignment horizontal="center" wrapText="1"/>
    </xf>
    <xf numFmtId="0" fontId="36" fillId="2" borderId="21" xfId="0" applyFont="1" applyFill="1" applyBorder="1"/>
    <xf numFmtId="10" fontId="31" fillId="2" borderId="21" xfId="1" applyNumberFormat="1" applyFont="1" applyFill="1" applyBorder="1"/>
    <xf numFmtId="10" fontId="31" fillId="2" borderId="21" xfId="0" applyNumberFormat="1" applyFont="1" applyFill="1" applyBorder="1" applyAlignment="1">
      <alignment wrapText="1"/>
    </xf>
    <xf numFmtId="0" fontId="9" fillId="2" borderId="20" xfId="0" applyFont="1" applyFill="1" applyBorder="1"/>
    <xf numFmtId="0" fontId="31" fillId="2" borderId="21" xfId="0" applyFont="1" applyFill="1" applyBorder="1"/>
    <xf numFmtId="0" fontId="17" fillId="2" borderId="20" xfId="0" applyFont="1" applyFill="1" applyBorder="1"/>
    <xf numFmtId="10" fontId="31" fillId="2" borderId="21" xfId="0" applyNumberFormat="1" applyFont="1" applyFill="1" applyBorder="1"/>
    <xf numFmtId="0" fontId="31" fillId="2" borderId="21" xfId="0" applyFont="1" applyFill="1" applyBorder="1" applyAlignment="1">
      <alignment horizontal="right" vertical="top" wrapText="1"/>
    </xf>
    <xf numFmtId="10" fontId="31" fillId="2" borderId="21" xfId="0" applyNumberFormat="1" applyFont="1" applyFill="1" applyBorder="1" applyAlignment="1">
      <alignment vertical="center"/>
    </xf>
    <xf numFmtId="9" fontId="0" fillId="2" borderId="23" xfId="0" applyNumberFormat="1" applyFill="1" applyBorder="1" applyAlignment="1">
      <alignment horizontal="center"/>
    </xf>
    <xf numFmtId="0" fontId="31" fillId="2" borderId="24" xfId="0" applyFont="1" applyFill="1" applyBorder="1"/>
    <xf numFmtId="0" fontId="0" fillId="2" borderId="0" xfId="0" applyFont="1" applyFill="1" applyBorder="1"/>
    <xf numFmtId="0" fontId="0" fillId="10" borderId="0" xfId="0" applyFont="1" applyFill="1" applyBorder="1"/>
    <xf numFmtId="0" fontId="0" fillId="4" borderId="0" xfId="0" applyFont="1" applyFill="1" applyBorder="1"/>
    <xf numFmtId="0" fontId="55" fillId="2" borderId="0" xfId="0" applyFont="1" applyFill="1"/>
    <xf numFmtId="0" fontId="56" fillId="2" borderId="0" xfId="0" applyFont="1" applyFill="1"/>
    <xf numFmtId="0" fontId="57" fillId="2" borderId="0" xfId="0" applyFont="1" applyFill="1"/>
    <xf numFmtId="0" fontId="58" fillId="2" borderId="0" xfId="0" applyFont="1" applyFill="1"/>
    <xf numFmtId="0" fontId="59" fillId="2" borderId="0" xfId="0" applyFont="1" applyFill="1"/>
    <xf numFmtId="0" fontId="60" fillId="2" borderId="0" xfId="0" applyFont="1" applyFill="1"/>
    <xf numFmtId="0" fontId="61" fillId="2" borderId="0" xfId="0" applyFont="1" applyFill="1"/>
    <xf numFmtId="0" fontId="62" fillId="2" borderId="0" xfId="0" applyFont="1" applyFill="1"/>
    <xf numFmtId="0" fontId="63" fillId="3" borderId="0" xfId="0" applyFont="1" applyFill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Country Ranking</a:t>
            </a:r>
          </a:p>
        </c:rich>
      </c:tx>
      <c:layout>
        <c:manualLayout>
          <c:xMode val="edge"/>
          <c:yMode val="edge"/>
          <c:x val="0.42972459271304425"/>
          <c:y val="2.94371348296934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7"/>
          <c:order val="0"/>
          <c:spPr>
            <a:gradFill rotWithShape="1">
              <a:gsLst>
                <a:gs pos="0">
                  <a:schemeClr val="accent4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'QUANTATIVE ANALYSIS'!$J$3:$AA$3</c:f>
              <c:strCache>
                <c:ptCount val="18"/>
                <c:pt idx="0">
                  <c:v>ICELAND</c:v>
                </c:pt>
                <c:pt idx="1">
                  <c:v>JAPAN</c:v>
                </c:pt>
                <c:pt idx="2">
                  <c:v>NETHERLAND</c:v>
                </c:pt>
                <c:pt idx="3">
                  <c:v>UNITED KINGDOM</c:v>
                </c:pt>
                <c:pt idx="4">
                  <c:v>FRANCE</c:v>
                </c:pt>
                <c:pt idx="5">
                  <c:v>SOUTH KOREA</c:v>
                </c:pt>
                <c:pt idx="6">
                  <c:v>JORDON</c:v>
                </c:pt>
                <c:pt idx="7">
                  <c:v>NEPAL</c:v>
                </c:pt>
                <c:pt idx="8">
                  <c:v>SRILANKA</c:v>
                </c:pt>
                <c:pt idx="9">
                  <c:v>U.S.A</c:v>
                </c:pt>
                <c:pt idx="10">
                  <c:v>INDIA</c:v>
                </c:pt>
                <c:pt idx="11">
                  <c:v>BRAZIL</c:v>
                </c:pt>
                <c:pt idx="12">
                  <c:v>THAILAND</c:v>
                </c:pt>
                <c:pt idx="13">
                  <c:v>MEXICO</c:v>
                </c:pt>
                <c:pt idx="14">
                  <c:v>RUSSIA</c:v>
                </c:pt>
                <c:pt idx="15">
                  <c:v>PAKISTAN</c:v>
                </c:pt>
                <c:pt idx="16">
                  <c:v>IRAQ</c:v>
                </c:pt>
                <c:pt idx="17">
                  <c:v>AFGHANISTAN</c:v>
                </c:pt>
              </c:strCache>
            </c:strRef>
          </c:cat>
          <c:val>
            <c:numRef>
              <c:f>'QUANTATIVE ANALYSIS'!$J$31:$AA$31</c:f>
              <c:numCache>
                <c:formatCode>General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0-B8FF-48E7-8D58-08293CA8624B}"/>
            </c:ext>
          </c:extLst>
        </c:ser>
        <c:ser>
          <c:idx val="28"/>
          <c:order val="1"/>
          <c:spPr>
            <a:gradFill rotWithShape="1">
              <a:gsLst>
                <a:gs pos="0">
                  <a:schemeClr val="accent5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'QUANTATIVE ANALYSIS'!$J$3:$AA$3</c:f>
              <c:strCache>
                <c:ptCount val="18"/>
                <c:pt idx="0">
                  <c:v>ICELAND</c:v>
                </c:pt>
                <c:pt idx="1">
                  <c:v>JAPAN</c:v>
                </c:pt>
                <c:pt idx="2">
                  <c:v>NETHERLAND</c:v>
                </c:pt>
                <c:pt idx="3">
                  <c:v>UNITED KINGDOM</c:v>
                </c:pt>
                <c:pt idx="4">
                  <c:v>FRANCE</c:v>
                </c:pt>
                <c:pt idx="5">
                  <c:v>SOUTH KOREA</c:v>
                </c:pt>
                <c:pt idx="6">
                  <c:v>JORDON</c:v>
                </c:pt>
                <c:pt idx="7">
                  <c:v>NEPAL</c:v>
                </c:pt>
                <c:pt idx="8">
                  <c:v>SRILANKA</c:v>
                </c:pt>
                <c:pt idx="9">
                  <c:v>U.S.A</c:v>
                </c:pt>
                <c:pt idx="10">
                  <c:v>INDIA</c:v>
                </c:pt>
                <c:pt idx="11">
                  <c:v>BRAZIL</c:v>
                </c:pt>
                <c:pt idx="12">
                  <c:v>THAILAND</c:v>
                </c:pt>
                <c:pt idx="13">
                  <c:v>MEXICO</c:v>
                </c:pt>
                <c:pt idx="14">
                  <c:v>RUSSIA</c:v>
                </c:pt>
                <c:pt idx="15">
                  <c:v>PAKISTAN</c:v>
                </c:pt>
                <c:pt idx="16">
                  <c:v>IRAQ</c:v>
                </c:pt>
                <c:pt idx="17">
                  <c:v>AFGHANISTAN</c:v>
                </c:pt>
              </c:strCache>
            </c:strRef>
          </c:cat>
          <c:val>
            <c:numRef>
              <c:f>'QUANTATIVE ANALYSIS'!$J$32:$AA$32</c:f>
              <c:numCache>
                <c:formatCode>General</c:formatCode>
                <c:ptCount val="18"/>
                <c:pt idx="0">
                  <c:v>2.6</c:v>
                </c:pt>
                <c:pt idx="1">
                  <c:v>3.0700000000000003</c:v>
                </c:pt>
                <c:pt idx="2">
                  <c:v>1.8400000000000003</c:v>
                </c:pt>
                <c:pt idx="3">
                  <c:v>2.95</c:v>
                </c:pt>
                <c:pt idx="4">
                  <c:v>3.14</c:v>
                </c:pt>
                <c:pt idx="5">
                  <c:v>2.3899999999999997</c:v>
                </c:pt>
                <c:pt idx="6">
                  <c:v>3.42</c:v>
                </c:pt>
                <c:pt idx="7">
                  <c:v>3.4699999999999998</c:v>
                </c:pt>
                <c:pt idx="8">
                  <c:v>3.42</c:v>
                </c:pt>
                <c:pt idx="9">
                  <c:v>2.65</c:v>
                </c:pt>
                <c:pt idx="10">
                  <c:v>3.1500000000000008</c:v>
                </c:pt>
                <c:pt idx="11">
                  <c:v>3.7900000000000005</c:v>
                </c:pt>
                <c:pt idx="12">
                  <c:v>2.3300000000000005</c:v>
                </c:pt>
                <c:pt idx="13">
                  <c:v>2.9800000000000004</c:v>
                </c:pt>
                <c:pt idx="14">
                  <c:v>2.6100000000000003</c:v>
                </c:pt>
                <c:pt idx="15">
                  <c:v>3.6500000000000004</c:v>
                </c:pt>
                <c:pt idx="16">
                  <c:v>4.3600000000000003</c:v>
                </c:pt>
                <c:pt idx="17">
                  <c:v>3.16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FF-48E7-8D58-08293CA86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80538448"/>
        <c:axId val="1680540528"/>
      </c:barChart>
      <c:catAx>
        <c:axId val="168053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540528"/>
        <c:crosses val="autoZero"/>
        <c:auto val="1"/>
        <c:lblAlgn val="ctr"/>
        <c:lblOffset val="100"/>
        <c:noMultiLvlLbl val="0"/>
      </c:catAx>
      <c:valAx>
        <c:axId val="168054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53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COUNTRY</a:t>
            </a:r>
            <a:r>
              <a:rPr lang="en-US" baseline="0"/>
              <a:t> RANKING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4349300087489059"/>
          <c:y val="6.4814814814814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3"/>
          <c:order val="2"/>
          <c:tx>
            <c:strRef>
              <c:f>'QUALITATIVE ANALYSIS '!$K$41:$AB$41</c:f>
              <c:strCache>
                <c:ptCount val="18"/>
                <c:pt idx="0">
                  <c:v>1.38</c:v>
                </c:pt>
                <c:pt idx="1">
                  <c:v>1.54</c:v>
                </c:pt>
                <c:pt idx="2">
                  <c:v>1.56</c:v>
                </c:pt>
                <c:pt idx="3">
                  <c:v>1.54</c:v>
                </c:pt>
                <c:pt idx="4">
                  <c:v>1.99</c:v>
                </c:pt>
                <c:pt idx="5">
                  <c:v>2.28</c:v>
                </c:pt>
                <c:pt idx="6">
                  <c:v>3.56</c:v>
                </c:pt>
                <c:pt idx="7">
                  <c:v>3.93</c:v>
                </c:pt>
                <c:pt idx="8">
                  <c:v>3.92</c:v>
                </c:pt>
                <c:pt idx="9">
                  <c:v>2.14</c:v>
                </c:pt>
                <c:pt idx="10">
                  <c:v>4.12</c:v>
                </c:pt>
                <c:pt idx="11">
                  <c:v>3.71</c:v>
                </c:pt>
                <c:pt idx="12">
                  <c:v>3.54</c:v>
                </c:pt>
                <c:pt idx="13">
                  <c:v>3.91</c:v>
                </c:pt>
                <c:pt idx="14">
                  <c:v>3.95</c:v>
                </c:pt>
                <c:pt idx="15">
                  <c:v>4.91</c:v>
                </c:pt>
                <c:pt idx="16">
                  <c:v>4.83</c:v>
                </c:pt>
                <c:pt idx="17">
                  <c:v>4.3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'QUALITATIVE ANALYSIS '!$I$3:$AB$3</c:f>
              <c:strCache>
                <c:ptCount val="20"/>
                <c:pt idx="2">
                  <c:v>ICELAND</c:v>
                </c:pt>
                <c:pt idx="3">
                  <c:v>JAPAN</c:v>
                </c:pt>
                <c:pt idx="4">
                  <c:v>NETHERLAND</c:v>
                </c:pt>
                <c:pt idx="5">
                  <c:v>UNITED KINGDOM</c:v>
                </c:pt>
                <c:pt idx="6">
                  <c:v>FRANCE</c:v>
                </c:pt>
                <c:pt idx="7">
                  <c:v>SOUTH KOREA</c:v>
                </c:pt>
                <c:pt idx="8">
                  <c:v>JORDON</c:v>
                </c:pt>
                <c:pt idx="9">
                  <c:v>NEPAL</c:v>
                </c:pt>
                <c:pt idx="10">
                  <c:v>SRILANKA</c:v>
                </c:pt>
                <c:pt idx="11">
                  <c:v>U.S.A</c:v>
                </c:pt>
                <c:pt idx="12">
                  <c:v>INDIA</c:v>
                </c:pt>
                <c:pt idx="13">
                  <c:v>BRAZIL</c:v>
                </c:pt>
                <c:pt idx="14">
                  <c:v>THAILAND</c:v>
                </c:pt>
                <c:pt idx="15">
                  <c:v>MEXICO</c:v>
                </c:pt>
                <c:pt idx="16">
                  <c:v>RUSSIA</c:v>
                </c:pt>
                <c:pt idx="17">
                  <c:v>PAKISTAN</c:v>
                </c:pt>
                <c:pt idx="18">
                  <c:v>IRAQ</c:v>
                </c:pt>
                <c:pt idx="19">
                  <c:v>AFGHANISTAN</c:v>
                </c:pt>
              </c:strCache>
            </c:strRef>
          </c:cat>
          <c:val>
            <c:numRef>
              <c:f>'QUALITATIVE ANALYSIS '!$I$37:$AB$37</c:f>
              <c:numCache>
                <c:formatCode>General</c:formatCode>
                <c:ptCount val="20"/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3-4700-83DF-01D65D5FB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8543632"/>
        <c:axId val="1748554032"/>
        <c:extLst>
          <c:ext xmlns:c15="http://schemas.microsoft.com/office/drawing/2012/chart" uri="{02D57815-91ED-43cb-92C2-25804820EDAC}">
            <c15:filteredBarSeries>
              <c15:ser>
                <c:idx val="31"/>
                <c:order val="0"/>
                <c:tx>
                  <c:strRef>
                    <c:extLst>
                      <c:ext uri="{02D57815-91ED-43cb-92C2-25804820EDAC}">
                        <c15:formulaRef>
                          <c15:sqref>'QUALITATIVE ANALYSIS '!$K$41</c15:sqref>
                        </c15:formulaRef>
                      </c:ext>
                    </c:extLst>
                    <c:strCache>
                      <c:ptCount val="1"/>
                      <c:pt idx="0">
                        <c:v>1.38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'QUALITATIVE ANALYSIS '!$I$3:$AB$3</c15:sqref>
                        </c15:formulaRef>
                      </c:ext>
                    </c:extLst>
                    <c:strCache>
                      <c:ptCount val="20"/>
                      <c:pt idx="2">
                        <c:v>ICELAND</c:v>
                      </c:pt>
                      <c:pt idx="3">
                        <c:v>JAPAN</c:v>
                      </c:pt>
                      <c:pt idx="4">
                        <c:v>NETHERLAND</c:v>
                      </c:pt>
                      <c:pt idx="5">
                        <c:v>UNITED KINGDOM</c:v>
                      </c:pt>
                      <c:pt idx="6">
                        <c:v>FRANCE</c:v>
                      </c:pt>
                      <c:pt idx="7">
                        <c:v>SOUTH KOREA</c:v>
                      </c:pt>
                      <c:pt idx="8">
                        <c:v>JORDON</c:v>
                      </c:pt>
                      <c:pt idx="9">
                        <c:v>NEPAL</c:v>
                      </c:pt>
                      <c:pt idx="10">
                        <c:v>SRILANKA</c:v>
                      </c:pt>
                      <c:pt idx="11">
                        <c:v>U.S.A</c:v>
                      </c:pt>
                      <c:pt idx="12">
                        <c:v>INDIA</c:v>
                      </c:pt>
                      <c:pt idx="13">
                        <c:v>BRAZIL</c:v>
                      </c:pt>
                      <c:pt idx="14">
                        <c:v>THAILAND</c:v>
                      </c:pt>
                      <c:pt idx="15">
                        <c:v>MEXICO</c:v>
                      </c:pt>
                      <c:pt idx="16">
                        <c:v>RUSSIA</c:v>
                      </c:pt>
                      <c:pt idx="17">
                        <c:v>PAKISTAN</c:v>
                      </c:pt>
                      <c:pt idx="18">
                        <c:v>IRAQ</c:v>
                      </c:pt>
                      <c:pt idx="19">
                        <c:v>AFGHANISTAN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'QUALITATIVE ANALYSIS '!$I$35:$AB$35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EC3-4700-83DF-01D65D5FBF60}"/>
                  </c:ext>
                </c:extLst>
              </c15:ser>
            </c15:filteredBarSeries>
            <c15:filteredBarSeries>
              <c15:ser>
                <c:idx val="3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'QUALITATIVE ANALYSIS '!$L$41</c15:sqref>
                        </c15:formulaRef>
                      </c:ext>
                    </c:extLst>
                    <c:strCache>
                      <c:ptCount val="1"/>
                      <c:pt idx="0">
                        <c:v>1.54</c:v>
                      </c:pt>
                    </c:strCache>
                  </c:strRef>
                </c:tx>
                <c:spPr>
                  <a:solidFill>
                    <a:schemeClr val="accent3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'QUALITATIVE ANALYSIS '!$I$3:$AB$3</c15:sqref>
                        </c15:formulaRef>
                      </c:ext>
                    </c:extLst>
                    <c:strCache>
                      <c:ptCount val="20"/>
                      <c:pt idx="2">
                        <c:v>ICELAND</c:v>
                      </c:pt>
                      <c:pt idx="3">
                        <c:v>JAPAN</c:v>
                      </c:pt>
                      <c:pt idx="4">
                        <c:v>NETHERLAND</c:v>
                      </c:pt>
                      <c:pt idx="5">
                        <c:v>UNITED KINGDOM</c:v>
                      </c:pt>
                      <c:pt idx="6">
                        <c:v>FRANCE</c:v>
                      </c:pt>
                      <c:pt idx="7">
                        <c:v>SOUTH KOREA</c:v>
                      </c:pt>
                      <c:pt idx="8">
                        <c:v>JORDON</c:v>
                      </c:pt>
                      <c:pt idx="9">
                        <c:v>NEPAL</c:v>
                      </c:pt>
                      <c:pt idx="10">
                        <c:v>SRILANKA</c:v>
                      </c:pt>
                      <c:pt idx="11">
                        <c:v>U.S.A</c:v>
                      </c:pt>
                      <c:pt idx="12">
                        <c:v>INDIA</c:v>
                      </c:pt>
                      <c:pt idx="13">
                        <c:v>BRAZIL</c:v>
                      </c:pt>
                      <c:pt idx="14">
                        <c:v>THAILAND</c:v>
                      </c:pt>
                      <c:pt idx="15">
                        <c:v>MEXICO</c:v>
                      </c:pt>
                      <c:pt idx="16">
                        <c:v>RUSSIA</c:v>
                      </c:pt>
                      <c:pt idx="17">
                        <c:v>PAKISTAN</c:v>
                      </c:pt>
                      <c:pt idx="18">
                        <c:v>IRAQ</c:v>
                      </c:pt>
                      <c:pt idx="19">
                        <c:v>AFGHANISTAN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'QUALITATIVE ANALYSIS '!$I$36:$AB$36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2">
                        <c:v>2</c:v>
                      </c:pt>
                      <c:pt idx="3">
                        <c:v>2</c:v>
                      </c:pt>
                      <c:pt idx="4">
                        <c:v>3</c:v>
                      </c:pt>
                      <c:pt idx="5">
                        <c:v>1</c:v>
                      </c:pt>
                      <c:pt idx="6">
                        <c:v>3</c:v>
                      </c:pt>
                      <c:pt idx="7">
                        <c:v>1</c:v>
                      </c:pt>
                      <c:pt idx="8">
                        <c:v>4</c:v>
                      </c:pt>
                      <c:pt idx="9">
                        <c:v>4</c:v>
                      </c:pt>
                      <c:pt idx="10">
                        <c:v>4</c:v>
                      </c:pt>
                      <c:pt idx="11">
                        <c:v>1</c:v>
                      </c:pt>
                      <c:pt idx="12">
                        <c:v>4</c:v>
                      </c:pt>
                      <c:pt idx="13">
                        <c:v>5</c:v>
                      </c:pt>
                      <c:pt idx="14">
                        <c:v>2</c:v>
                      </c:pt>
                      <c:pt idx="15">
                        <c:v>4</c:v>
                      </c:pt>
                      <c:pt idx="16">
                        <c:v>2</c:v>
                      </c:pt>
                      <c:pt idx="17">
                        <c:v>5</c:v>
                      </c:pt>
                      <c:pt idx="18">
                        <c:v>5</c:v>
                      </c:pt>
                      <c:pt idx="19">
                        <c:v>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EC3-4700-83DF-01D65D5FBF60}"/>
                  </c:ext>
                </c:extLst>
              </c15:ser>
            </c15:filteredBarSeries>
            <c15:filteredBarSeries>
              <c15:ser>
                <c:idx val="34"/>
                <c:order val="3"/>
                <c:spPr>
                  <a:solidFill>
                    <a:schemeClr val="accent5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'QUALITATIVE ANALYSIS '!$I$3:$AB$3</c15:sqref>
                        </c15:formulaRef>
                      </c:ext>
                    </c:extLst>
                    <c:strCache>
                      <c:ptCount val="20"/>
                      <c:pt idx="2">
                        <c:v>ICELAND</c:v>
                      </c:pt>
                      <c:pt idx="3">
                        <c:v>JAPAN</c:v>
                      </c:pt>
                      <c:pt idx="4">
                        <c:v>NETHERLAND</c:v>
                      </c:pt>
                      <c:pt idx="5">
                        <c:v>UNITED KINGDOM</c:v>
                      </c:pt>
                      <c:pt idx="6">
                        <c:v>FRANCE</c:v>
                      </c:pt>
                      <c:pt idx="7">
                        <c:v>SOUTH KOREA</c:v>
                      </c:pt>
                      <c:pt idx="8">
                        <c:v>JORDON</c:v>
                      </c:pt>
                      <c:pt idx="9">
                        <c:v>NEPAL</c:v>
                      </c:pt>
                      <c:pt idx="10">
                        <c:v>SRILANKA</c:v>
                      </c:pt>
                      <c:pt idx="11">
                        <c:v>U.S.A</c:v>
                      </c:pt>
                      <c:pt idx="12">
                        <c:v>INDIA</c:v>
                      </c:pt>
                      <c:pt idx="13">
                        <c:v>BRAZIL</c:v>
                      </c:pt>
                      <c:pt idx="14">
                        <c:v>THAILAND</c:v>
                      </c:pt>
                      <c:pt idx="15">
                        <c:v>MEXICO</c:v>
                      </c:pt>
                      <c:pt idx="16">
                        <c:v>RUSSIA</c:v>
                      </c:pt>
                      <c:pt idx="17">
                        <c:v>PAKISTAN</c:v>
                      </c:pt>
                      <c:pt idx="18">
                        <c:v>IRAQ</c:v>
                      </c:pt>
                      <c:pt idx="19">
                        <c:v>AFGHANISTAN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'QUALITATIVE ANALYSIS '!$I$38:$AB$38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EC3-4700-83DF-01D65D5FBF60}"/>
                  </c:ext>
                </c:extLst>
              </c15:ser>
            </c15:filteredBarSeries>
            <c15:filteredBarSeries>
              <c15:ser>
                <c:idx val="35"/>
                <c:order val="4"/>
                <c:spPr>
                  <a:solidFill>
                    <a:schemeClr val="accent6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'QUALITATIVE ANALYSIS '!$I$3:$AB$3</c15:sqref>
                        </c15:formulaRef>
                      </c:ext>
                    </c:extLst>
                    <c:strCache>
                      <c:ptCount val="20"/>
                      <c:pt idx="2">
                        <c:v>ICELAND</c:v>
                      </c:pt>
                      <c:pt idx="3">
                        <c:v>JAPAN</c:v>
                      </c:pt>
                      <c:pt idx="4">
                        <c:v>NETHERLAND</c:v>
                      </c:pt>
                      <c:pt idx="5">
                        <c:v>UNITED KINGDOM</c:v>
                      </c:pt>
                      <c:pt idx="6">
                        <c:v>FRANCE</c:v>
                      </c:pt>
                      <c:pt idx="7">
                        <c:v>SOUTH KOREA</c:v>
                      </c:pt>
                      <c:pt idx="8">
                        <c:v>JORDON</c:v>
                      </c:pt>
                      <c:pt idx="9">
                        <c:v>NEPAL</c:v>
                      </c:pt>
                      <c:pt idx="10">
                        <c:v>SRILANKA</c:v>
                      </c:pt>
                      <c:pt idx="11">
                        <c:v>U.S.A</c:v>
                      </c:pt>
                      <c:pt idx="12">
                        <c:v>INDIA</c:v>
                      </c:pt>
                      <c:pt idx="13">
                        <c:v>BRAZIL</c:v>
                      </c:pt>
                      <c:pt idx="14">
                        <c:v>THAILAND</c:v>
                      </c:pt>
                      <c:pt idx="15">
                        <c:v>MEXICO</c:v>
                      </c:pt>
                      <c:pt idx="16">
                        <c:v>RUSSIA</c:v>
                      </c:pt>
                      <c:pt idx="17">
                        <c:v>PAKISTAN</c:v>
                      </c:pt>
                      <c:pt idx="18">
                        <c:v>IRAQ</c:v>
                      </c:pt>
                      <c:pt idx="19">
                        <c:v>AFGHANISTAN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'QUALITATIVE ANALYSIS '!$I$39:$AB$39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EC3-4700-83DF-01D65D5FBF60}"/>
                  </c:ext>
                </c:extLst>
              </c15:ser>
            </c15:filteredBarSeries>
            <c15:filteredBarSeries>
              <c15:ser>
                <c:idx val="36"/>
                <c:order val="5"/>
                <c:spPr>
                  <a:solidFill>
                    <a:schemeClr val="accent1">
                      <a:lumMod val="70000"/>
                      <a:lumOff val="3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'QUALITATIVE ANALYSIS '!$I$3:$AB$3</c15:sqref>
                        </c15:formulaRef>
                      </c:ext>
                    </c:extLst>
                    <c:strCache>
                      <c:ptCount val="20"/>
                      <c:pt idx="2">
                        <c:v>ICELAND</c:v>
                      </c:pt>
                      <c:pt idx="3">
                        <c:v>JAPAN</c:v>
                      </c:pt>
                      <c:pt idx="4">
                        <c:v>NETHERLAND</c:v>
                      </c:pt>
                      <c:pt idx="5">
                        <c:v>UNITED KINGDOM</c:v>
                      </c:pt>
                      <c:pt idx="6">
                        <c:v>FRANCE</c:v>
                      </c:pt>
                      <c:pt idx="7">
                        <c:v>SOUTH KOREA</c:v>
                      </c:pt>
                      <c:pt idx="8">
                        <c:v>JORDON</c:v>
                      </c:pt>
                      <c:pt idx="9">
                        <c:v>NEPAL</c:v>
                      </c:pt>
                      <c:pt idx="10">
                        <c:v>SRILANKA</c:v>
                      </c:pt>
                      <c:pt idx="11">
                        <c:v>U.S.A</c:v>
                      </c:pt>
                      <c:pt idx="12">
                        <c:v>INDIA</c:v>
                      </c:pt>
                      <c:pt idx="13">
                        <c:v>BRAZIL</c:v>
                      </c:pt>
                      <c:pt idx="14">
                        <c:v>THAILAND</c:v>
                      </c:pt>
                      <c:pt idx="15">
                        <c:v>MEXICO</c:v>
                      </c:pt>
                      <c:pt idx="16">
                        <c:v>RUSSIA</c:v>
                      </c:pt>
                      <c:pt idx="17">
                        <c:v>PAKISTAN</c:v>
                      </c:pt>
                      <c:pt idx="18">
                        <c:v>IRAQ</c:v>
                      </c:pt>
                      <c:pt idx="19">
                        <c:v>AFGHANISTAN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'QUALITATIVE ANALYSIS '!$I$40:$AB$40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EC3-4700-83DF-01D65D5FBF60}"/>
                  </c:ext>
                </c:extLst>
              </c15:ser>
            </c15:filteredBarSeries>
            <c15:filteredBarSeries>
              <c15:ser>
                <c:idx val="38"/>
                <c:order val="6"/>
                <c:spPr>
                  <a:solidFill>
                    <a:schemeClr val="accent3">
                      <a:lumMod val="70000"/>
                      <a:lumOff val="3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'QUALITATIVE ANALYSIS '!$I$3:$AB$3</c15:sqref>
                        </c15:formulaRef>
                      </c:ext>
                    </c:extLst>
                    <c:strCache>
                      <c:ptCount val="20"/>
                      <c:pt idx="2">
                        <c:v>ICELAND</c:v>
                      </c:pt>
                      <c:pt idx="3">
                        <c:v>JAPAN</c:v>
                      </c:pt>
                      <c:pt idx="4">
                        <c:v>NETHERLAND</c:v>
                      </c:pt>
                      <c:pt idx="5">
                        <c:v>UNITED KINGDOM</c:v>
                      </c:pt>
                      <c:pt idx="6">
                        <c:v>FRANCE</c:v>
                      </c:pt>
                      <c:pt idx="7">
                        <c:v>SOUTH KOREA</c:v>
                      </c:pt>
                      <c:pt idx="8">
                        <c:v>JORDON</c:v>
                      </c:pt>
                      <c:pt idx="9">
                        <c:v>NEPAL</c:v>
                      </c:pt>
                      <c:pt idx="10">
                        <c:v>SRILANKA</c:v>
                      </c:pt>
                      <c:pt idx="11">
                        <c:v>U.S.A</c:v>
                      </c:pt>
                      <c:pt idx="12">
                        <c:v>INDIA</c:v>
                      </c:pt>
                      <c:pt idx="13">
                        <c:v>BRAZIL</c:v>
                      </c:pt>
                      <c:pt idx="14">
                        <c:v>THAILAND</c:v>
                      </c:pt>
                      <c:pt idx="15">
                        <c:v>MEXICO</c:v>
                      </c:pt>
                      <c:pt idx="16">
                        <c:v>RUSSIA</c:v>
                      </c:pt>
                      <c:pt idx="17">
                        <c:v>PAKISTAN</c:v>
                      </c:pt>
                      <c:pt idx="18">
                        <c:v>IRAQ</c:v>
                      </c:pt>
                      <c:pt idx="19">
                        <c:v>AFGHANISTAN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'QUALITATIVE ANALYSIS '!$I$42:$AB$42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EC3-4700-83DF-01D65D5FBF60}"/>
                  </c:ext>
                </c:extLst>
              </c15:ser>
            </c15:filteredBarSeries>
          </c:ext>
        </c:extLst>
      </c:barChart>
      <c:catAx>
        <c:axId val="174854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554032"/>
        <c:crosses val="autoZero"/>
        <c:auto val="1"/>
        <c:lblAlgn val="ctr"/>
        <c:lblOffset val="100"/>
        <c:noMultiLvlLbl val="0"/>
      </c:catAx>
      <c:valAx>
        <c:axId val="174855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54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Britania</a:t>
            </a:r>
            <a:r>
              <a:rPr lang="en-IN" baseline="0"/>
              <a:t> Income Analysis(FY17-FY21)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'Income statement'!$D$5</c:f>
              <c:strCache>
                <c:ptCount val="1"/>
                <c:pt idx="0">
                  <c:v>Mar-17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'Income statement'!$C$6:$C$22</c15:sqref>
                  </c15:fullRef>
                </c:ext>
              </c:extLst>
              <c:f>('Income statement'!$C$6,'Income statement'!$C$8:$C$11,'Income statement'!$C$17,'Income statement'!$C$20:$C$22)</c:f>
              <c:strCache>
                <c:ptCount val="9"/>
                <c:pt idx="0">
                  <c:v>NET SALE</c:v>
                </c:pt>
                <c:pt idx="1">
                  <c:v>Total Revenue</c:v>
                </c:pt>
                <c:pt idx="2">
                  <c:v>Cost of good sold (COGS)</c:v>
                </c:pt>
                <c:pt idx="3">
                  <c:v>Gross profit</c:v>
                </c:pt>
                <c:pt idx="4">
                  <c:v> Operating Expenses</c:v>
                </c:pt>
                <c:pt idx="5">
                  <c:v>Operating profits (EBIT)</c:v>
                </c:pt>
                <c:pt idx="6">
                  <c:v>PBT</c:v>
                </c:pt>
                <c:pt idx="7">
                  <c:v>Tax expesnes</c:v>
                </c:pt>
                <c:pt idx="8">
                  <c:v>net income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'Income statement'!$D$6:$D$22</c15:sqref>
                  </c15:fullRef>
                </c:ext>
              </c:extLst>
              <c:f>('Income statement'!$D$6,'Income statement'!$D$8:$D$11,'Income statement'!$D$17,'Income statement'!$D$20:$D$22)</c:f>
              <c:numCache>
                <c:formatCode>#,##0.00</c:formatCode>
                <c:ptCount val="9"/>
                <c:pt idx="0">
                  <c:v>8311.5300000000007</c:v>
                </c:pt>
                <c:pt idx="1">
                  <c:v>9204.6299999999992</c:v>
                </c:pt>
                <c:pt idx="2" formatCode="General">
                  <c:v>5878.99</c:v>
                </c:pt>
                <c:pt idx="3">
                  <c:v>3325.6399999999994</c:v>
                </c:pt>
                <c:pt idx="4" formatCode="General">
                  <c:v>7800.82</c:v>
                </c:pt>
                <c:pt idx="5" formatCode="General">
                  <c:v>1419.2</c:v>
                </c:pt>
                <c:pt idx="6" formatCode="#,##0">
                  <c:v>1304</c:v>
                </c:pt>
                <c:pt idx="7" formatCode="#,##0">
                  <c:v>419.53</c:v>
                </c:pt>
                <c:pt idx="8" formatCode="General">
                  <c:v>884.47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7B-4547-9CD4-A712F3AA11B5}"/>
            </c:ext>
          </c:extLst>
        </c:ser>
        <c:ser>
          <c:idx val="1"/>
          <c:order val="1"/>
          <c:tx>
            <c:strRef>
              <c:f>'Income statement'!$E$5</c:f>
              <c:strCache>
                <c:ptCount val="1"/>
                <c:pt idx="0">
                  <c:v>Mar-18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'Income statement'!$C$6:$C$22</c15:sqref>
                  </c15:fullRef>
                </c:ext>
              </c:extLst>
              <c:f>('Income statement'!$C$6,'Income statement'!$C$8:$C$11,'Income statement'!$C$17,'Income statement'!$C$20:$C$22)</c:f>
              <c:strCache>
                <c:ptCount val="9"/>
                <c:pt idx="0">
                  <c:v>NET SALE</c:v>
                </c:pt>
                <c:pt idx="1">
                  <c:v>Total Revenue</c:v>
                </c:pt>
                <c:pt idx="2">
                  <c:v>Cost of good sold (COGS)</c:v>
                </c:pt>
                <c:pt idx="3">
                  <c:v>Gross profit</c:v>
                </c:pt>
                <c:pt idx="4">
                  <c:v> Operating Expenses</c:v>
                </c:pt>
                <c:pt idx="5">
                  <c:v>Operating profits (EBIT)</c:v>
                </c:pt>
                <c:pt idx="6">
                  <c:v>PBT</c:v>
                </c:pt>
                <c:pt idx="7">
                  <c:v>Tax expesnes</c:v>
                </c:pt>
                <c:pt idx="8">
                  <c:v>net income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'Income statement'!$E$6:$E$22</c15:sqref>
                  </c15:fullRef>
                </c:ext>
              </c:extLst>
              <c:f>('Income statement'!$E$6,'Income statement'!$E$8:$E$11,'Income statement'!$E$17,'Income statement'!$E$20:$E$22)</c:f>
              <c:numCache>
                <c:formatCode>#,##0.00</c:formatCode>
                <c:ptCount val="9"/>
                <c:pt idx="0">
                  <c:v>9205.93</c:v>
                </c:pt>
                <c:pt idx="1">
                  <c:v>10080.36</c:v>
                </c:pt>
                <c:pt idx="2" formatCode="General">
                  <c:v>6218.74</c:v>
                </c:pt>
                <c:pt idx="3" formatCode="General">
                  <c:v>3861.6200000000008</c:v>
                </c:pt>
                <c:pt idx="4" formatCode="General">
                  <c:v>8470.65</c:v>
                </c:pt>
                <c:pt idx="5" formatCode="General">
                  <c:v>1656.56</c:v>
                </c:pt>
                <c:pt idx="6" formatCode="#,##0">
                  <c:v>1518</c:v>
                </c:pt>
                <c:pt idx="7" formatCode="#,##0">
                  <c:v>513.77</c:v>
                </c:pt>
                <c:pt idx="8" formatCode="General">
                  <c:v>1004.23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7B-4547-9CD4-A712F3AA11B5}"/>
            </c:ext>
          </c:extLst>
        </c:ser>
        <c:ser>
          <c:idx val="2"/>
          <c:order val="2"/>
          <c:tx>
            <c:strRef>
              <c:f>'Income statement'!$F$5</c:f>
              <c:strCache>
                <c:ptCount val="1"/>
                <c:pt idx="0">
                  <c:v>Mar-19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'Income statement'!$C$6:$C$22</c15:sqref>
                  </c15:fullRef>
                </c:ext>
              </c:extLst>
              <c:f>('Income statement'!$C$6,'Income statement'!$C$8:$C$11,'Income statement'!$C$17,'Income statement'!$C$20:$C$22)</c:f>
              <c:strCache>
                <c:ptCount val="9"/>
                <c:pt idx="0">
                  <c:v>NET SALE</c:v>
                </c:pt>
                <c:pt idx="1">
                  <c:v>Total Revenue</c:v>
                </c:pt>
                <c:pt idx="2">
                  <c:v>Cost of good sold (COGS)</c:v>
                </c:pt>
                <c:pt idx="3">
                  <c:v>Gross profit</c:v>
                </c:pt>
                <c:pt idx="4">
                  <c:v> Operating Expenses</c:v>
                </c:pt>
                <c:pt idx="5">
                  <c:v>Operating profits (EBIT)</c:v>
                </c:pt>
                <c:pt idx="6">
                  <c:v>PBT</c:v>
                </c:pt>
                <c:pt idx="7">
                  <c:v>Tax expesnes</c:v>
                </c:pt>
                <c:pt idx="8">
                  <c:v>net income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'Income statement'!$F$6:$F$22</c15:sqref>
                  </c15:fullRef>
                </c:ext>
              </c:extLst>
              <c:f>('Income statement'!$F$6,'Income statement'!$F$8:$F$11,'Income statement'!$F$17,'Income statement'!$F$20:$F$22)</c:f>
              <c:numCache>
                <c:formatCode>#,##0.00</c:formatCode>
                <c:ptCount val="9"/>
                <c:pt idx="0">
                  <c:v>10389.49</c:v>
                </c:pt>
                <c:pt idx="1">
                  <c:v>11261.12</c:v>
                </c:pt>
                <c:pt idx="2" formatCode="General">
                  <c:v>6599.93</c:v>
                </c:pt>
                <c:pt idx="3" formatCode="General">
                  <c:v>4661.1900000000005</c:v>
                </c:pt>
                <c:pt idx="4" formatCode="General">
                  <c:v>9402.6299999999992</c:v>
                </c:pt>
                <c:pt idx="5" formatCode="General">
                  <c:v>1926.68</c:v>
                </c:pt>
                <c:pt idx="6" formatCode="#,##0">
                  <c:v>1768</c:v>
                </c:pt>
                <c:pt idx="7" formatCode="#,##0">
                  <c:v>608.88000000000011</c:v>
                </c:pt>
                <c:pt idx="8" formatCode="General">
                  <c:v>1159.1199999999999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7B-4547-9CD4-A712F3AA11B5}"/>
            </c:ext>
          </c:extLst>
        </c:ser>
        <c:ser>
          <c:idx val="3"/>
          <c:order val="3"/>
          <c:tx>
            <c:strRef>
              <c:f>'Income statement'!$G$5</c:f>
              <c:strCache>
                <c:ptCount val="1"/>
                <c:pt idx="0">
                  <c:v>Mar-20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'Income statement'!$C$6:$C$22</c15:sqref>
                  </c15:fullRef>
                </c:ext>
              </c:extLst>
              <c:f>('Income statement'!$C$6,'Income statement'!$C$8:$C$11,'Income statement'!$C$17,'Income statement'!$C$20:$C$22)</c:f>
              <c:strCache>
                <c:ptCount val="9"/>
                <c:pt idx="0">
                  <c:v>NET SALE</c:v>
                </c:pt>
                <c:pt idx="1">
                  <c:v>Total Revenue</c:v>
                </c:pt>
                <c:pt idx="2">
                  <c:v>Cost of good sold (COGS)</c:v>
                </c:pt>
                <c:pt idx="3">
                  <c:v>Gross profit</c:v>
                </c:pt>
                <c:pt idx="4">
                  <c:v> Operating Expenses</c:v>
                </c:pt>
                <c:pt idx="5">
                  <c:v>Operating profits (EBIT)</c:v>
                </c:pt>
                <c:pt idx="6">
                  <c:v>PBT</c:v>
                </c:pt>
                <c:pt idx="7">
                  <c:v>Tax expesnes</c:v>
                </c:pt>
                <c:pt idx="8">
                  <c:v>net income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'Income statement'!$G$6:$G$22</c15:sqref>
                  </c15:fullRef>
                </c:ext>
              </c:extLst>
              <c:f>('Income statement'!$G$6,'Income statement'!$G$8:$G$11,'Income statement'!$G$17,'Income statement'!$G$20:$G$22)</c:f>
              <c:numCache>
                <c:formatCode>#,##0.00</c:formatCode>
                <c:ptCount val="9"/>
                <c:pt idx="0">
                  <c:v>10820.57</c:v>
                </c:pt>
                <c:pt idx="1">
                  <c:v>11878.95</c:v>
                </c:pt>
                <c:pt idx="2" formatCode="General">
                  <c:v>6966.13</c:v>
                </c:pt>
                <c:pt idx="3" formatCode="General">
                  <c:v>4912.8200000000006</c:v>
                </c:pt>
                <c:pt idx="4" formatCode="General">
                  <c:v>9786.33</c:v>
                </c:pt>
                <c:pt idx="5" formatCode="General">
                  <c:v>2035.47</c:v>
                </c:pt>
                <c:pt idx="6" formatCode="#,##0">
                  <c:v>1844</c:v>
                </c:pt>
                <c:pt idx="7" formatCode="#,##0">
                  <c:v>441.36999999999989</c:v>
                </c:pt>
                <c:pt idx="8" formatCode="General">
                  <c:v>1402.63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7B-4547-9CD4-A712F3AA11B5}"/>
            </c:ext>
          </c:extLst>
        </c:ser>
        <c:ser>
          <c:idx val="4"/>
          <c:order val="4"/>
          <c:tx>
            <c:strRef>
              <c:f>'Income statement'!$H$5</c:f>
              <c:strCache>
                <c:ptCount val="1"/>
                <c:pt idx="0">
                  <c:v>Mar-21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'Income statement'!$C$6:$C$22</c15:sqref>
                  </c15:fullRef>
                </c:ext>
              </c:extLst>
              <c:f>('Income statement'!$C$6,'Income statement'!$C$8:$C$11,'Income statement'!$C$17,'Income statement'!$C$20:$C$22)</c:f>
              <c:strCache>
                <c:ptCount val="9"/>
                <c:pt idx="0">
                  <c:v>NET SALE</c:v>
                </c:pt>
                <c:pt idx="1">
                  <c:v>Total Revenue</c:v>
                </c:pt>
                <c:pt idx="2">
                  <c:v>Cost of good sold (COGS)</c:v>
                </c:pt>
                <c:pt idx="3">
                  <c:v>Gross profit</c:v>
                </c:pt>
                <c:pt idx="4">
                  <c:v> Operating Expenses</c:v>
                </c:pt>
                <c:pt idx="5">
                  <c:v>Operating profits (EBIT)</c:v>
                </c:pt>
                <c:pt idx="6">
                  <c:v>PBT</c:v>
                </c:pt>
                <c:pt idx="7">
                  <c:v>Tax expesnes</c:v>
                </c:pt>
                <c:pt idx="8">
                  <c:v>net income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'Income statement'!$H$6:$H$22</c15:sqref>
                  </c15:fullRef>
                </c:ext>
              </c:extLst>
              <c:f>('Income statement'!$H$6,'Income statement'!$H$8:$H$11,'Income statement'!$H$17,'Income statement'!$H$20:$H$22)</c:f>
              <c:numCache>
                <c:formatCode>#,##0.00</c:formatCode>
                <c:ptCount val="9"/>
                <c:pt idx="0" formatCode="#,##0">
                  <c:v>13136</c:v>
                </c:pt>
                <c:pt idx="1">
                  <c:v>13449.07</c:v>
                </c:pt>
                <c:pt idx="2" formatCode="General">
                  <c:v>7626.1</c:v>
                </c:pt>
                <c:pt idx="3" formatCode="General">
                  <c:v>5822.9699999999993</c:v>
                </c:pt>
                <c:pt idx="4" formatCode="General">
                  <c:v>10824.7</c:v>
                </c:pt>
                <c:pt idx="5" formatCode="General">
                  <c:v>2835.67</c:v>
                </c:pt>
                <c:pt idx="6" formatCode="#,##0">
                  <c:v>2514</c:v>
                </c:pt>
                <c:pt idx="7" formatCode="#,##0">
                  <c:v>650.09999999999991</c:v>
                </c:pt>
                <c:pt idx="8" formatCode="General">
                  <c:v>1863.9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7B-4547-9CD4-A712F3AA11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851539615"/>
        <c:axId val="1851535039"/>
        <c:axId val="385987055"/>
      </c:bar3DChart>
      <c:catAx>
        <c:axId val="1851539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1535039"/>
        <c:crosses val="autoZero"/>
        <c:auto val="1"/>
        <c:lblAlgn val="ctr"/>
        <c:lblOffset val="100"/>
        <c:noMultiLvlLbl val="0"/>
      </c:catAx>
      <c:valAx>
        <c:axId val="185153503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>
              <a:outerShdw blurRad="50800" dist="50800" dir="5400000" sx="50000" sy="50000" algn="ctr" rotWithShape="0">
                <a:schemeClr val="bg1">
                  <a:lumMod val="50000"/>
                </a:schemeClr>
              </a:outerShdw>
            </a:effectLst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400"/>
                  <a:t>INR</a:t>
                </a:r>
                <a:r>
                  <a:rPr lang="en-IN" sz="1400" baseline="0"/>
                  <a:t>  IN  CRORE</a:t>
                </a:r>
              </a:p>
            </c:rich>
          </c:tx>
          <c:layout>
            <c:manualLayout>
              <c:xMode val="edge"/>
              <c:yMode val="edge"/>
              <c:x val="3.1167021705659381E-2"/>
              <c:y val="0.357171212121212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crossAx val="1851539615"/>
        <c:crosses val="autoZero"/>
        <c:crossBetween val="between"/>
      </c:valAx>
      <c:serAx>
        <c:axId val="3859870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1535039"/>
        <c:crosses val="autoZero"/>
      </c:ser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0321827383036554"/>
          <c:y val="0.11074015151515151"/>
          <c:w val="0.4166682760274929"/>
          <c:h val="9.90186868686868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509142607174103"/>
          <c:y val="0.18785578885972587"/>
          <c:w val="0.87232174103237092"/>
          <c:h val="0.37946157771945171"/>
        </c:manualLayout>
      </c:layout>
      <c:bar3DChart>
        <c:barDir val="col"/>
        <c:grouping val="percentStacked"/>
        <c:varyColors val="0"/>
        <c:ser>
          <c:idx val="2"/>
          <c:order val="0"/>
          <c:tx>
            <c:strRef>
              <c:f>'Time series'!$F$5</c:f>
              <c:strCache>
                <c:ptCount val="1"/>
                <c:pt idx="0">
                  <c:v>2017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'Time series'!$C$7:$C$23</c:f>
              <c:strCache>
                <c:ptCount val="17"/>
                <c:pt idx="0">
                  <c:v>PE Ratio</c:v>
                </c:pt>
                <c:pt idx="1">
                  <c:v>ROE%</c:v>
                </c:pt>
                <c:pt idx="2">
                  <c:v>ROCE%</c:v>
                </c:pt>
                <c:pt idx="3">
                  <c:v>ROA%</c:v>
                </c:pt>
                <c:pt idx="4">
                  <c:v>NET PROFIT MARGIN</c:v>
                </c:pt>
                <c:pt idx="7">
                  <c:v>INTEREST COVERGE</c:v>
                </c:pt>
                <c:pt idx="8">
                  <c:v>Total Debt to Equity Ratio</c:v>
                </c:pt>
                <c:pt idx="11">
                  <c:v>INVENTORY TURNOVER RATIO</c:v>
                </c:pt>
                <c:pt idx="12">
                  <c:v>  ASSET TURNOVER RATIO</c:v>
                </c:pt>
                <c:pt idx="15">
                  <c:v>Current Ratio </c:v>
                </c:pt>
                <c:pt idx="16">
                  <c:v>Quick Ratio</c:v>
                </c:pt>
              </c:strCache>
            </c:strRef>
          </c:cat>
          <c:val>
            <c:numRef>
              <c:f>'Time series'!$F$7:$F$23</c:f>
              <c:numCache>
                <c:formatCode>0.00%</c:formatCode>
                <c:ptCount val="17"/>
                <c:pt idx="0" formatCode="General">
                  <c:v>45.9</c:v>
                </c:pt>
                <c:pt idx="1">
                  <c:v>0.32369999999999999</c:v>
                </c:pt>
                <c:pt idx="2">
                  <c:v>0.3236</c:v>
                </c:pt>
                <c:pt idx="3">
                  <c:v>0.22819999999999999</c:v>
                </c:pt>
                <c:pt idx="4">
                  <c:v>9.7600000000000006E-2</c:v>
                </c:pt>
                <c:pt idx="7">
                  <c:v>2.4026999999999998</c:v>
                </c:pt>
                <c:pt idx="8" formatCode="General">
                  <c:v>0.04</c:v>
                </c:pt>
                <c:pt idx="11" formatCode="General">
                  <c:v>13.69</c:v>
                </c:pt>
                <c:pt idx="12">
                  <c:v>2.2035</c:v>
                </c:pt>
                <c:pt idx="15" formatCode="General">
                  <c:v>1.84</c:v>
                </c:pt>
                <c:pt idx="16" formatCode="General">
                  <c:v>1.29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5-4929-AD09-F61C7B871ED8}"/>
            </c:ext>
          </c:extLst>
        </c:ser>
        <c:ser>
          <c:idx val="3"/>
          <c:order val="1"/>
          <c:tx>
            <c:strRef>
              <c:f>'Time series'!$G$5</c:f>
              <c:strCache>
                <c:ptCount val="1"/>
                <c:pt idx="0">
                  <c:v>2018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'Time series'!$C$7:$C$23</c:f>
              <c:strCache>
                <c:ptCount val="17"/>
                <c:pt idx="0">
                  <c:v>PE Ratio</c:v>
                </c:pt>
                <c:pt idx="1">
                  <c:v>ROE%</c:v>
                </c:pt>
                <c:pt idx="2">
                  <c:v>ROCE%</c:v>
                </c:pt>
                <c:pt idx="3">
                  <c:v>ROA%</c:v>
                </c:pt>
                <c:pt idx="4">
                  <c:v>NET PROFIT MARGIN</c:v>
                </c:pt>
                <c:pt idx="7">
                  <c:v>INTEREST COVERGE</c:v>
                </c:pt>
                <c:pt idx="8">
                  <c:v>Total Debt to Equity Ratio</c:v>
                </c:pt>
                <c:pt idx="11">
                  <c:v>INVENTORY TURNOVER RATIO</c:v>
                </c:pt>
                <c:pt idx="12">
                  <c:v>  ASSET TURNOVER RATIO</c:v>
                </c:pt>
                <c:pt idx="15">
                  <c:v>Current Ratio </c:v>
                </c:pt>
                <c:pt idx="16">
                  <c:v>Quick Ratio</c:v>
                </c:pt>
              </c:strCache>
            </c:strRef>
          </c:cat>
          <c:val>
            <c:numRef>
              <c:f>'Time series'!$G$7:$G$23</c:f>
              <c:numCache>
                <c:formatCode>0.00%</c:formatCode>
                <c:ptCount val="17"/>
                <c:pt idx="0" formatCode="General">
                  <c:v>59.45</c:v>
                </c:pt>
                <c:pt idx="1">
                  <c:v>0.29289999999999999</c:v>
                </c:pt>
                <c:pt idx="2">
                  <c:v>0.29060000000000002</c:v>
                </c:pt>
                <c:pt idx="3">
                  <c:v>0.20480000000000001</c:v>
                </c:pt>
                <c:pt idx="4">
                  <c:v>0.1012</c:v>
                </c:pt>
                <c:pt idx="7">
                  <c:v>2.0105</c:v>
                </c:pt>
                <c:pt idx="8" formatCode="General">
                  <c:v>0.05</c:v>
                </c:pt>
                <c:pt idx="11" formatCode="General">
                  <c:v>15.19</c:v>
                </c:pt>
                <c:pt idx="12">
                  <c:v>1.9109</c:v>
                </c:pt>
                <c:pt idx="15" formatCode="General">
                  <c:v>2.0299999999999998</c:v>
                </c:pt>
                <c:pt idx="16" formatCode="General">
                  <c:v>1.59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95-4929-AD09-F61C7B871ED8}"/>
            </c:ext>
          </c:extLst>
        </c:ser>
        <c:ser>
          <c:idx val="4"/>
          <c:order val="2"/>
          <c:tx>
            <c:strRef>
              <c:f>'Time series'!$H$5</c:f>
              <c:strCache>
                <c:ptCount val="1"/>
                <c:pt idx="0">
                  <c:v>2019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'Time series'!$C$7:$C$23</c:f>
              <c:strCache>
                <c:ptCount val="17"/>
                <c:pt idx="0">
                  <c:v>PE Ratio</c:v>
                </c:pt>
                <c:pt idx="1">
                  <c:v>ROE%</c:v>
                </c:pt>
                <c:pt idx="2">
                  <c:v>ROCE%</c:v>
                </c:pt>
                <c:pt idx="3">
                  <c:v>ROA%</c:v>
                </c:pt>
                <c:pt idx="4">
                  <c:v>NET PROFIT MARGIN</c:v>
                </c:pt>
                <c:pt idx="7">
                  <c:v>INTEREST COVERGE</c:v>
                </c:pt>
                <c:pt idx="8">
                  <c:v>Total Debt to Equity Ratio</c:v>
                </c:pt>
                <c:pt idx="11">
                  <c:v>INVENTORY TURNOVER RATIO</c:v>
                </c:pt>
                <c:pt idx="12">
                  <c:v>  ASSET TURNOVER RATIO</c:v>
                </c:pt>
                <c:pt idx="15">
                  <c:v>Current Ratio </c:v>
                </c:pt>
                <c:pt idx="16">
                  <c:v>Quick Ratio</c:v>
                </c:pt>
              </c:strCache>
            </c:strRef>
          </c:cat>
          <c:val>
            <c:numRef>
              <c:f>'Time series'!$H$7:$H$23</c:f>
              <c:numCache>
                <c:formatCode>0.00%</c:formatCode>
                <c:ptCount val="17"/>
                <c:pt idx="0" formatCode="General">
                  <c:v>63.93</c:v>
                </c:pt>
                <c:pt idx="1">
                  <c:v>0.27779999999999999</c:v>
                </c:pt>
                <c:pt idx="2">
                  <c:v>0.4219</c:v>
                </c:pt>
                <c:pt idx="3">
                  <c:v>0.19850000000000001</c:v>
                </c:pt>
                <c:pt idx="4">
                  <c:v>0.1046</c:v>
                </c:pt>
                <c:pt idx="7">
                  <c:v>1.956</c:v>
                </c:pt>
                <c:pt idx="8" formatCode="General">
                  <c:v>0.03</c:v>
                </c:pt>
                <c:pt idx="11" formatCode="General">
                  <c:v>14.15</c:v>
                </c:pt>
                <c:pt idx="12">
                  <c:v>1.7709999999999999</c:v>
                </c:pt>
                <c:pt idx="15" formatCode="General">
                  <c:v>1.94</c:v>
                </c:pt>
                <c:pt idx="16" formatCode="General">
                  <c:v>1.49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95-4929-AD09-F61C7B871ED8}"/>
            </c:ext>
          </c:extLst>
        </c:ser>
        <c:ser>
          <c:idx val="5"/>
          <c:order val="3"/>
          <c:tx>
            <c:strRef>
              <c:f>'Time series'!$I$5</c:f>
              <c:strCache>
                <c:ptCount val="1"/>
                <c:pt idx="0">
                  <c:v>2020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'Time series'!$C$7:$C$23</c:f>
              <c:strCache>
                <c:ptCount val="17"/>
                <c:pt idx="0">
                  <c:v>PE Ratio</c:v>
                </c:pt>
                <c:pt idx="1">
                  <c:v>ROE%</c:v>
                </c:pt>
                <c:pt idx="2">
                  <c:v>ROCE%</c:v>
                </c:pt>
                <c:pt idx="3">
                  <c:v>ROA%</c:v>
                </c:pt>
                <c:pt idx="4">
                  <c:v>NET PROFIT MARGIN</c:v>
                </c:pt>
                <c:pt idx="7">
                  <c:v>INTEREST COVERGE</c:v>
                </c:pt>
                <c:pt idx="8">
                  <c:v>Total Debt to Equity Ratio</c:v>
                </c:pt>
                <c:pt idx="11">
                  <c:v>INVENTORY TURNOVER RATIO</c:v>
                </c:pt>
                <c:pt idx="12">
                  <c:v>  ASSET TURNOVER RATIO</c:v>
                </c:pt>
                <c:pt idx="15">
                  <c:v>Current Ratio </c:v>
                </c:pt>
                <c:pt idx="16">
                  <c:v>Quick Ratio</c:v>
                </c:pt>
              </c:strCache>
            </c:strRef>
          </c:cat>
          <c:val>
            <c:numRef>
              <c:f>'Time series'!$I$7:$I$23</c:f>
              <c:numCache>
                <c:formatCode>0.00%</c:formatCode>
                <c:ptCount val="17"/>
                <c:pt idx="0" formatCode="General">
                  <c:v>46.1</c:v>
                </c:pt>
                <c:pt idx="1">
                  <c:v>0.34720000000000001</c:v>
                </c:pt>
                <c:pt idx="2">
                  <c:v>0.38790000000000002</c:v>
                </c:pt>
                <c:pt idx="3">
                  <c:v>0.2046</c:v>
                </c:pt>
                <c:pt idx="4">
                  <c:v>0.1201</c:v>
                </c:pt>
                <c:pt idx="7">
                  <c:v>0.252</c:v>
                </c:pt>
                <c:pt idx="8" formatCode="General">
                  <c:v>0.34</c:v>
                </c:pt>
                <c:pt idx="11" formatCode="General">
                  <c:v>15.65</c:v>
                </c:pt>
                <c:pt idx="12">
                  <c:v>1.4791000000000001</c:v>
                </c:pt>
                <c:pt idx="15" formatCode="General">
                  <c:v>1.45</c:v>
                </c:pt>
                <c:pt idx="16" formatCode="General">
                  <c:v>1.1599999999999999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95-4929-AD09-F61C7B871ED8}"/>
            </c:ext>
          </c:extLst>
        </c:ser>
        <c:ser>
          <c:idx val="6"/>
          <c:order val="4"/>
          <c:tx>
            <c:strRef>
              <c:f>'Time series'!$J$5</c:f>
              <c:strCache>
                <c:ptCount val="1"/>
                <c:pt idx="0">
                  <c:v>2021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'Time series'!$C$7:$C$23</c:f>
              <c:strCache>
                <c:ptCount val="17"/>
                <c:pt idx="0">
                  <c:v>PE Ratio</c:v>
                </c:pt>
                <c:pt idx="1">
                  <c:v>ROE%</c:v>
                </c:pt>
                <c:pt idx="2">
                  <c:v>ROCE%</c:v>
                </c:pt>
                <c:pt idx="3">
                  <c:v>ROA%</c:v>
                </c:pt>
                <c:pt idx="4">
                  <c:v>NET PROFIT MARGIN</c:v>
                </c:pt>
                <c:pt idx="7">
                  <c:v>INTEREST COVERGE</c:v>
                </c:pt>
                <c:pt idx="8">
                  <c:v>Total Debt to Equity Ratio</c:v>
                </c:pt>
                <c:pt idx="11">
                  <c:v>INVENTORY TURNOVER RATIO</c:v>
                </c:pt>
                <c:pt idx="12">
                  <c:v>  ASSET TURNOVER RATIO</c:v>
                </c:pt>
                <c:pt idx="15">
                  <c:v>Current Ratio </c:v>
                </c:pt>
                <c:pt idx="16">
                  <c:v>Quick Ratio</c:v>
                </c:pt>
              </c:strCache>
            </c:strRef>
          </c:cat>
          <c:val>
            <c:numRef>
              <c:f>'Time series'!$J$7:$J$23</c:f>
              <c:numCache>
                <c:formatCode>0.00%</c:formatCode>
                <c:ptCount val="17"/>
                <c:pt idx="0" formatCode="General">
                  <c:v>44.24</c:v>
                </c:pt>
                <c:pt idx="1">
                  <c:v>0.5302</c:v>
                </c:pt>
                <c:pt idx="2">
                  <c:v>0.60589999999999999</c:v>
                </c:pt>
                <c:pt idx="3">
                  <c:v>0.23730000000000001</c:v>
                </c:pt>
                <c:pt idx="4">
                  <c:v>0.14080000000000001</c:v>
                </c:pt>
                <c:pt idx="7">
                  <c:v>0.2366</c:v>
                </c:pt>
                <c:pt idx="8" formatCode="General">
                  <c:v>0.59</c:v>
                </c:pt>
                <c:pt idx="11" formatCode="General">
                  <c:v>12.04</c:v>
                </c:pt>
                <c:pt idx="12">
                  <c:v>1.6402000000000001</c:v>
                </c:pt>
                <c:pt idx="15" formatCode="General">
                  <c:v>1.21</c:v>
                </c:pt>
                <c:pt idx="16" formatCode="General">
                  <c:v>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95-4929-AD09-F61C7B871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77545872"/>
        <c:axId val="2077542960"/>
        <c:axId val="0"/>
      </c:bar3DChart>
      <c:catAx>
        <c:axId val="207754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542960"/>
        <c:crosses val="autoZero"/>
        <c:auto val="1"/>
        <c:lblAlgn val="ctr"/>
        <c:lblOffset val="100"/>
        <c:noMultiLvlLbl val="0"/>
      </c:catAx>
      <c:valAx>
        <c:axId val="207754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54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-1</xdr:colOff>
      <xdr:row>38</xdr:row>
      <xdr:rowOff>0</xdr:rowOff>
    </xdr:from>
    <xdr:to>
      <xdr:col>5</xdr:col>
      <xdr:colOff>936217</xdr:colOff>
      <xdr:row>52</xdr:row>
      <xdr:rowOff>121790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488072-8EEC-4642-8973-C833DDD4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265373</xdr:colOff>
      <xdr:row>3</xdr:row>
      <xdr:rowOff>104254</xdr:rowOff>
    </xdr:from>
    <xdr:to>
      <xdr:col>8</xdr:col>
      <xdr:colOff>587612</xdr:colOff>
      <xdr:row>3</xdr:row>
      <xdr:rowOff>322239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54824D42-B063-4C40-AC5F-6D3D9B54A077}"/>
            </a:ext>
          </a:extLst>
        </xdr:cNvPr>
        <xdr:cNvSpPr/>
      </xdr:nvSpPr>
      <xdr:spPr>
        <a:xfrm>
          <a:off x="10431723" y="910704"/>
          <a:ext cx="322239" cy="21798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691864</xdr:colOff>
      <xdr:row>40</xdr:row>
      <xdr:rowOff>123209</xdr:rowOff>
    </xdr:from>
    <xdr:to>
      <xdr:col>2</xdr:col>
      <xdr:colOff>3573059</xdr:colOff>
      <xdr:row>57</xdr:row>
      <xdr:rowOff>142163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044A52-926B-4D82-B3FC-89CF29501B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265373</xdr:colOff>
      <xdr:row>4</xdr:row>
      <xdr:rowOff>104254</xdr:rowOff>
    </xdr:from>
    <xdr:to>
      <xdr:col>7</xdr:col>
      <xdr:colOff>587612</xdr:colOff>
      <xdr:row>4</xdr:row>
      <xdr:rowOff>322239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38BC6681-7CEA-4961-81B6-967290B935FB}"/>
            </a:ext>
          </a:extLst>
        </xdr:cNvPr>
        <xdr:cNvSpPr/>
      </xdr:nvSpPr>
      <xdr:spPr>
        <a:xfrm>
          <a:off x="13867073" y="1069454"/>
          <a:ext cx="322239" cy="21798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933449</xdr:colOff>
      <xdr:row>24</xdr:row>
      <xdr:rowOff>165100</xdr:rowOff>
    </xdr:from>
    <xdr:to>
      <xdr:col>13</xdr:col>
      <xdr:colOff>1943</xdr:colOff>
      <xdr:row>46</xdr:row>
      <xdr:rowOff>67450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216C73-5229-4674-B0CC-CC815D319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28</xdr:row>
      <xdr:rowOff>0</xdr:rowOff>
    </xdr:from>
    <xdr:to>
      <xdr:col>9</xdr:col>
      <xdr:colOff>330200</xdr:colOff>
      <xdr:row>46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39D1C1-EFC4-4079-915F-AE36CA14A5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tradingeconomics.com/country-list/interest-rate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tradingeconomics.com/country-list/interest-rate" TargetMode="External"/><Relationship Id="rId1" Type="http://schemas.openxmlformats.org/officeDocument/2006/relationships/hyperlink" Target="https://tradingeconomics.com/country-list/interest-rate" TargetMode="External"/><Relationship Id="rId6" Type="http://schemas.openxmlformats.org/officeDocument/2006/relationships/hyperlink" Target="https://tradingeconomics.com/country-list/interest-rate" TargetMode="External"/><Relationship Id="rId5" Type="http://schemas.openxmlformats.org/officeDocument/2006/relationships/hyperlink" Target="https://tradingeconomics.com/country-list/interest-rate" TargetMode="External"/><Relationship Id="rId4" Type="http://schemas.openxmlformats.org/officeDocument/2006/relationships/hyperlink" Target="https://tradingeconomics.com/country-list/interest-rat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World_Index_of_Moral_Freedom" TargetMode="External"/><Relationship Id="rId13" Type="http://schemas.openxmlformats.org/officeDocument/2006/relationships/hyperlink" Target="https://ccpi.org/" TargetMode="External"/><Relationship Id="rId3" Type="http://schemas.openxmlformats.org/officeDocument/2006/relationships/hyperlink" Target="https://worldjusticeproject.org/sites/default/files/documents/ROLI-2019-Reduced.pdf" TargetMode="External"/><Relationship Id="rId7" Type="http://schemas.openxmlformats.org/officeDocument/2006/relationships/hyperlink" Target="https://en.wikipedia.org/wiki/List_of_countries_by_Human_Development_Index" TargetMode="External"/><Relationship Id="rId12" Type="http://schemas.openxmlformats.org/officeDocument/2006/relationships/hyperlink" Target="https://www.researchgate.net/publication/249705390_A_Business_Ethics_National_Index_BENIMeasuring_Business_Ethics_Activity_Around_the_World" TargetMode="External"/><Relationship Id="rId2" Type="http://schemas.openxmlformats.org/officeDocument/2006/relationships/hyperlink" Target="https://www.transparency.org/en/cpi/2020/index/nzl" TargetMode="External"/><Relationship Id="rId1" Type="http://schemas.openxmlformats.org/officeDocument/2006/relationships/hyperlink" Target="https://www.visionofhumanity.org/wp-content/uploads/2021/06/GPI-2021-web-1.pdf" TargetMode="External"/><Relationship Id="rId6" Type="http://schemas.openxmlformats.org/officeDocument/2006/relationships/hyperlink" Target="https://www.numbeo.com/quality-of-life/rankings_by_country.jsp" TargetMode="External"/><Relationship Id="rId11" Type="http://schemas.openxmlformats.org/officeDocument/2006/relationships/hyperlink" Target="https://www.imd.org/news/updates/2021-world-competitiveness-ranking/" TargetMode="External"/><Relationship Id="rId5" Type="http://schemas.openxmlformats.org/officeDocument/2006/relationships/hyperlink" Target="https://epi.yale.edu/epi-results/2020/component/epi" TargetMode="External"/><Relationship Id="rId15" Type="http://schemas.openxmlformats.org/officeDocument/2006/relationships/drawing" Target="../drawings/drawing2.xml"/><Relationship Id="rId10" Type="http://schemas.openxmlformats.org/officeDocument/2006/relationships/hyperlink" Target="https://tcdata360.worldbank.org/indicators/h2e1ddd20" TargetMode="External"/><Relationship Id="rId4" Type="http://schemas.openxmlformats.org/officeDocument/2006/relationships/hyperlink" Target="https://www.doingbusiness.org/en/rankings" TargetMode="External"/><Relationship Id="rId9" Type="http://schemas.openxmlformats.org/officeDocument/2006/relationships/hyperlink" Target="https://stats.oecd.org/Index.aspx?DataSetCode=STRI" TargetMode="External"/><Relationship Id="rId1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C9D2F-DE45-410F-ABB9-2DA83ECF2249}">
  <sheetPr codeName="Sheet19"/>
  <dimension ref="C1:AB47"/>
  <sheetViews>
    <sheetView tabSelected="1" zoomScale="78" workbookViewId="0">
      <selection activeCell="D1" sqref="D1:E1"/>
    </sheetView>
  </sheetViews>
  <sheetFormatPr defaultRowHeight="14.5" x14ac:dyDescent="0.35"/>
  <cols>
    <col min="1" max="2" width="3.7265625" style="1" customWidth="1"/>
    <col min="3" max="3" width="24" style="1" bestFit="1" customWidth="1"/>
    <col min="4" max="4" width="41.1796875" style="1" bestFit="1" customWidth="1"/>
    <col min="5" max="5" width="25.26953125" style="1" customWidth="1"/>
    <col min="6" max="6" width="29.54296875" style="1" bestFit="1" customWidth="1"/>
    <col min="7" max="7" width="10" style="1" bestFit="1" customWidth="1"/>
    <col min="8" max="8" width="8.08984375" style="1" customWidth="1"/>
    <col min="9" max="9" width="16.36328125" style="1" customWidth="1"/>
    <col min="10" max="10" width="10.90625" style="1" bestFit="1" customWidth="1"/>
    <col min="11" max="11" width="8.54296875" style="1" bestFit="1" customWidth="1"/>
    <col min="12" max="12" width="16.36328125" style="1" bestFit="1" customWidth="1"/>
    <col min="13" max="13" width="21.26953125" style="1" bestFit="1" customWidth="1"/>
    <col min="14" max="14" width="10.08984375" style="1" bestFit="1" customWidth="1"/>
    <col min="15" max="15" width="17.453125" style="1" bestFit="1" customWidth="1"/>
    <col min="16" max="16" width="10.36328125" style="1" bestFit="1" customWidth="1"/>
    <col min="17" max="17" width="8.453125" style="1" bestFit="1" customWidth="1"/>
    <col min="18" max="18" width="12.54296875" style="1" bestFit="1" customWidth="1"/>
    <col min="19" max="19" width="7" style="1" bestFit="1" customWidth="1"/>
    <col min="20" max="20" width="7.36328125" style="1" bestFit="1" customWidth="1"/>
    <col min="21" max="21" width="9.26953125" style="1" bestFit="1" customWidth="1"/>
    <col min="22" max="22" width="12.54296875" style="1" bestFit="1" customWidth="1"/>
    <col min="23" max="23" width="9.90625" style="1" bestFit="1" customWidth="1"/>
    <col min="24" max="24" width="9.453125" style="1" bestFit="1" customWidth="1"/>
    <col min="25" max="25" width="12.54296875" style="1" bestFit="1" customWidth="1"/>
    <col min="26" max="26" width="6.54296875" style="1" bestFit="1" customWidth="1"/>
    <col min="27" max="27" width="17.453125" style="1" bestFit="1" customWidth="1"/>
    <col min="28" max="16384" width="8.7265625" style="1"/>
  </cols>
  <sheetData>
    <row r="1" spans="3:28" ht="28" x14ac:dyDescent="0.8">
      <c r="D1" s="85" t="s">
        <v>90</v>
      </c>
      <c r="E1" s="357"/>
      <c r="F1" s="4"/>
    </row>
    <row r="2" spans="3:28" ht="17.5" thickBot="1" x14ac:dyDescent="0.55000000000000004">
      <c r="D2" s="86"/>
    </row>
    <row r="3" spans="3:28" ht="18" thickTop="1" thickBot="1" x14ac:dyDescent="0.55000000000000004">
      <c r="D3" s="86"/>
      <c r="I3" s="87" t="s">
        <v>91</v>
      </c>
      <c r="J3" s="88" t="s">
        <v>2</v>
      </c>
      <c r="K3" s="88" t="s">
        <v>3</v>
      </c>
      <c r="L3" s="88" t="s">
        <v>4</v>
      </c>
      <c r="M3" s="88" t="s">
        <v>5</v>
      </c>
      <c r="N3" s="88" t="s">
        <v>6</v>
      </c>
      <c r="O3" s="88" t="s">
        <v>7</v>
      </c>
      <c r="P3" s="88" t="s">
        <v>8</v>
      </c>
      <c r="Q3" s="88" t="s">
        <v>9</v>
      </c>
      <c r="R3" s="88" t="s">
        <v>10</v>
      </c>
      <c r="S3" s="88" t="s">
        <v>11</v>
      </c>
      <c r="T3" s="88" t="s">
        <v>12</v>
      </c>
      <c r="U3" s="88" t="s">
        <v>13</v>
      </c>
      <c r="V3" s="88" t="s">
        <v>14</v>
      </c>
      <c r="W3" s="88" t="s">
        <v>15</v>
      </c>
      <c r="X3" s="88" t="s">
        <v>16</v>
      </c>
      <c r="Y3" s="88" t="s">
        <v>17</v>
      </c>
      <c r="Z3" s="88" t="s">
        <v>18</v>
      </c>
      <c r="AA3" s="89" t="s">
        <v>19</v>
      </c>
      <c r="AB3" s="90"/>
    </row>
    <row r="4" spans="3:28" ht="51.5" thickTop="1" x14ac:dyDescent="0.5">
      <c r="C4" s="91" t="s">
        <v>20</v>
      </c>
      <c r="D4" s="92" t="s">
        <v>21</v>
      </c>
      <c r="E4" s="93" t="s">
        <v>22</v>
      </c>
      <c r="F4" s="93" t="s">
        <v>23</v>
      </c>
      <c r="G4" s="92" t="s">
        <v>24</v>
      </c>
      <c r="H4" s="94" t="s">
        <v>92</v>
      </c>
      <c r="I4" s="17" t="s">
        <v>26</v>
      </c>
      <c r="J4" s="95"/>
      <c r="AA4" s="96"/>
    </row>
    <row r="5" spans="3:28" x14ac:dyDescent="0.35">
      <c r="C5" s="95"/>
      <c r="H5" s="96"/>
      <c r="I5" s="97"/>
      <c r="J5" s="95"/>
      <c r="AA5" s="96"/>
    </row>
    <row r="6" spans="3:28" ht="17" x14ac:dyDescent="0.5">
      <c r="C6" s="98" t="s">
        <v>93</v>
      </c>
      <c r="G6" s="24">
        <v>0.2</v>
      </c>
      <c r="H6" s="96"/>
      <c r="I6" s="99"/>
      <c r="J6" s="95"/>
      <c r="AA6" s="96"/>
    </row>
    <row r="7" spans="3:28" ht="17" x14ac:dyDescent="0.5">
      <c r="C7" s="98"/>
      <c r="D7" s="32" t="s">
        <v>94</v>
      </c>
      <c r="E7" s="23" t="s">
        <v>28</v>
      </c>
      <c r="F7" s="32">
        <v>2021</v>
      </c>
      <c r="H7" s="100">
        <v>0.12</v>
      </c>
      <c r="I7" s="99" t="s">
        <v>95</v>
      </c>
      <c r="J7" s="101">
        <v>2</v>
      </c>
      <c r="K7" s="102">
        <v>2</v>
      </c>
      <c r="L7" s="103">
        <v>1</v>
      </c>
      <c r="M7" s="102">
        <v>2</v>
      </c>
      <c r="N7" s="102">
        <v>3</v>
      </c>
      <c r="O7" s="102">
        <v>4</v>
      </c>
      <c r="P7" s="102">
        <v>4</v>
      </c>
      <c r="Q7" s="102">
        <v>5</v>
      </c>
      <c r="R7" s="102">
        <v>3</v>
      </c>
      <c r="S7" s="102">
        <v>1</v>
      </c>
      <c r="T7" s="102">
        <v>5</v>
      </c>
      <c r="U7" s="102">
        <v>5</v>
      </c>
      <c r="V7" s="102">
        <v>5</v>
      </c>
      <c r="W7" s="102">
        <v>5</v>
      </c>
      <c r="X7" s="102">
        <v>5</v>
      </c>
      <c r="Y7" s="102">
        <v>5</v>
      </c>
      <c r="Z7" s="102">
        <v>5</v>
      </c>
      <c r="AA7" s="104">
        <v>5</v>
      </c>
    </row>
    <row r="8" spans="3:28" ht="17" x14ac:dyDescent="0.5">
      <c r="C8" s="98"/>
      <c r="D8" s="32" t="s">
        <v>96</v>
      </c>
      <c r="E8" s="23" t="s">
        <v>28</v>
      </c>
      <c r="F8" s="32">
        <v>2021</v>
      </c>
      <c r="H8" s="100">
        <v>0.08</v>
      </c>
      <c r="I8" s="99" t="str">
        <f>"-3- 4.50"</f>
        <v>-3- 4.50</v>
      </c>
      <c r="J8" s="105">
        <v>1</v>
      </c>
      <c r="K8" s="28">
        <v>5</v>
      </c>
      <c r="L8" s="28">
        <v>2</v>
      </c>
      <c r="M8" s="28">
        <v>1</v>
      </c>
      <c r="N8" s="28">
        <v>1</v>
      </c>
      <c r="O8" s="28">
        <v>2</v>
      </c>
      <c r="P8" s="28">
        <v>3</v>
      </c>
      <c r="Q8" s="28">
        <v>5</v>
      </c>
      <c r="R8" s="28">
        <v>4</v>
      </c>
      <c r="S8" s="28">
        <v>1</v>
      </c>
      <c r="T8" s="28">
        <v>1</v>
      </c>
      <c r="U8" s="28">
        <v>2</v>
      </c>
      <c r="V8" s="28">
        <v>3</v>
      </c>
      <c r="W8" s="28">
        <v>1</v>
      </c>
      <c r="X8" s="28">
        <v>2</v>
      </c>
      <c r="Y8" s="28">
        <v>4</v>
      </c>
      <c r="Z8" s="28">
        <v>5</v>
      </c>
      <c r="AA8" s="106">
        <v>5</v>
      </c>
    </row>
    <row r="9" spans="3:28" ht="17" x14ac:dyDescent="0.5">
      <c r="C9" s="98"/>
      <c r="E9" s="107"/>
      <c r="H9" s="96"/>
      <c r="I9" s="99"/>
      <c r="J9" s="108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109"/>
    </row>
    <row r="10" spans="3:28" ht="17.5" thickBot="1" x14ac:dyDescent="0.55000000000000004">
      <c r="C10" s="98" t="s">
        <v>97</v>
      </c>
      <c r="E10" s="107"/>
      <c r="G10" s="24">
        <v>0.16</v>
      </c>
      <c r="H10" s="96"/>
      <c r="I10" s="99"/>
      <c r="J10" s="110"/>
      <c r="K10" s="111"/>
      <c r="L10" s="111"/>
      <c r="M10" s="111"/>
      <c r="N10" s="111"/>
      <c r="O10" s="112"/>
      <c r="P10" s="111"/>
      <c r="Q10" s="111"/>
      <c r="R10" s="111"/>
      <c r="S10" s="113"/>
      <c r="T10" s="114"/>
      <c r="U10" s="111"/>
      <c r="V10" s="111"/>
      <c r="W10" s="111"/>
      <c r="X10" s="111"/>
      <c r="Y10" s="115"/>
      <c r="Z10" s="115"/>
      <c r="AA10" s="116"/>
    </row>
    <row r="11" spans="3:28" ht="17" x14ac:dyDescent="0.5">
      <c r="C11" s="98"/>
      <c r="D11" s="32" t="s">
        <v>98</v>
      </c>
      <c r="E11" s="23" t="s">
        <v>28</v>
      </c>
      <c r="F11" s="32">
        <v>2021</v>
      </c>
      <c r="H11" s="100">
        <v>0.16</v>
      </c>
      <c r="I11" s="99" t="s">
        <v>99</v>
      </c>
      <c r="J11" s="105">
        <v>3</v>
      </c>
      <c r="K11" s="28">
        <v>5</v>
      </c>
      <c r="L11" s="28">
        <v>2</v>
      </c>
      <c r="M11" s="28">
        <v>4</v>
      </c>
      <c r="N11" s="28">
        <v>4</v>
      </c>
      <c r="O11" s="28">
        <v>2</v>
      </c>
      <c r="P11" s="28">
        <v>3</v>
      </c>
      <c r="Q11" s="28">
        <v>2</v>
      </c>
      <c r="R11" s="28">
        <v>4</v>
      </c>
      <c r="S11" s="28"/>
      <c r="T11" s="28">
        <v>2</v>
      </c>
      <c r="U11" s="28">
        <v>3</v>
      </c>
      <c r="V11" s="28">
        <v>2</v>
      </c>
      <c r="W11" s="28">
        <v>3</v>
      </c>
      <c r="X11" s="28">
        <v>1</v>
      </c>
      <c r="Y11" s="28">
        <v>3</v>
      </c>
      <c r="Z11" s="28">
        <v>3</v>
      </c>
      <c r="AA11" s="106">
        <v>1</v>
      </c>
    </row>
    <row r="12" spans="3:28" ht="17" x14ac:dyDescent="0.5">
      <c r="C12" s="98"/>
      <c r="E12" s="107"/>
      <c r="H12" s="96"/>
      <c r="I12" s="99"/>
      <c r="J12" s="108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109"/>
    </row>
    <row r="13" spans="3:28" ht="17" x14ac:dyDescent="0.5">
      <c r="C13" s="98" t="s">
        <v>100</v>
      </c>
      <c r="E13" s="107"/>
      <c r="G13" s="24">
        <v>0.16</v>
      </c>
      <c r="H13" s="96"/>
      <c r="I13" s="99"/>
      <c r="J13" s="117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9"/>
      <c r="Z13" s="119"/>
      <c r="AA13" s="120"/>
    </row>
    <row r="14" spans="3:28" ht="17" x14ac:dyDescent="0.5">
      <c r="C14" s="98"/>
      <c r="D14" s="32" t="s">
        <v>101</v>
      </c>
      <c r="E14" s="23" t="s">
        <v>28</v>
      </c>
      <c r="F14" s="32">
        <v>2021</v>
      </c>
      <c r="H14" s="100">
        <v>0.16</v>
      </c>
      <c r="I14" s="99" t="s">
        <v>102</v>
      </c>
      <c r="J14" s="105">
        <v>3</v>
      </c>
      <c r="K14" s="28">
        <v>3</v>
      </c>
      <c r="L14" s="28">
        <v>1</v>
      </c>
      <c r="M14" s="28">
        <v>1</v>
      </c>
      <c r="N14" s="28">
        <v>2</v>
      </c>
      <c r="O14" s="28">
        <v>1</v>
      </c>
      <c r="P14" s="28">
        <v>2</v>
      </c>
      <c r="Q14" s="28">
        <v>3</v>
      </c>
      <c r="R14" s="28">
        <v>4</v>
      </c>
      <c r="S14" s="28">
        <v>4</v>
      </c>
      <c r="T14" s="28">
        <v>5</v>
      </c>
      <c r="U14" s="28">
        <v>5</v>
      </c>
      <c r="V14" s="28">
        <v>2</v>
      </c>
      <c r="W14" s="28">
        <v>4</v>
      </c>
      <c r="X14" s="28">
        <v>5</v>
      </c>
      <c r="Y14" s="28">
        <v>5</v>
      </c>
      <c r="Z14" s="28">
        <v>4</v>
      </c>
      <c r="AA14" s="106">
        <v>2</v>
      </c>
    </row>
    <row r="15" spans="3:28" ht="17" x14ac:dyDescent="0.5">
      <c r="C15" s="98"/>
      <c r="E15" s="107"/>
      <c r="F15" s="32"/>
      <c r="H15" s="96"/>
      <c r="I15" s="99"/>
      <c r="J15" s="108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109"/>
    </row>
    <row r="16" spans="3:28" ht="17" x14ac:dyDescent="0.5">
      <c r="C16" s="98" t="s">
        <v>103</v>
      </c>
      <c r="E16" s="107"/>
      <c r="G16" s="24">
        <v>0.14000000000000001</v>
      </c>
      <c r="H16" s="96"/>
      <c r="I16" s="99"/>
      <c r="J16" s="108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109"/>
    </row>
    <row r="17" spans="3:27" ht="17" x14ac:dyDescent="0.5">
      <c r="C17" s="98"/>
      <c r="D17" s="32" t="s">
        <v>104</v>
      </c>
      <c r="E17" s="23" t="s">
        <v>28</v>
      </c>
      <c r="F17" s="32">
        <v>2021</v>
      </c>
      <c r="H17" s="100">
        <v>7.0000000000000007E-2</v>
      </c>
      <c r="I17" s="99" t="str">
        <f>"-18-0"</f>
        <v>-18-0</v>
      </c>
      <c r="J17" s="105">
        <v>3</v>
      </c>
      <c r="K17" s="28">
        <v>4</v>
      </c>
      <c r="L17" s="28">
        <v>1</v>
      </c>
      <c r="M17" s="28">
        <v>5</v>
      </c>
      <c r="N17" s="28">
        <v>3</v>
      </c>
      <c r="O17" s="28">
        <v>2</v>
      </c>
      <c r="P17" s="28">
        <v>3</v>
      </c>
      <c r="Q17" s="28">
        <v>4</v>
      </c>
      <c r="R17" s="28">
        <v>3</v>
      </c>
      <c r="S17" s="28">
        <v>5</v>
      </c>
      <c r="T17" s="28">
        <v>3</v>
      </c>
      <c r="U17" s="28">
        <v>4</v>
      </c>
      <c r="V17" s="28">
        <v>1</v>
      </c>
      <c r="W17" s="28">
        <v>2</v>
      </c>
      <c r="X17" s="28">
        <v>1</v>
      </c>
      <c r="Y17" s="28">
        <v>4</v>
      </c>
      <c r="Z17" s="28">
        <v>5</v>
      </c>
      <c r="AA17" s="106">
        <v>1</v>
      </c>
    </row>
    <row r="18" spans="3:27" ht="17" x14ac:dyDescent="0.5">
      <c r="C18" s="98"/>
      <c r="D18" s="32" t="s">
        <v>105</v>
      </c>
      <c r="E18" s="23" t="s">
        <v>28</v>
      </c>
      <c r="F18" s="32">
        <v>2021</v>
      </c>
      <c r="H18" s="100">
        <v>7.0000000000000007E-2</v>
      </c>
      <c r="I18" s="99" t="s">
        <v>106</v>
      </c>
      <c r="J18" s="105">
        <v>1</v>
      </c>
      <c r="K18" s="28">
        <v>1</v>
      </c>
      <c r="L18" s="28">
        <v>5</v>
      </c>
      <c r="M18" s="28">
        <v>4</v>
      </c>
      <c r="N18" s="28">
        <v>5</v>
      </c>
      <c r="O18" s="28">
        <v>3</v>
      </c>
      <c r="P18" s="28">
        <v>5</v>
      </c>
      <c r="Q18" s="28">
        <v>5</v>
      </c>
      <c r="R18" s="28">
        <v>5</v>
      </c>
      <c r="S18" s="28">
        <v>4</v>
      </c>
      <c r="T18" s="28">
        <v>2</v>
      </c>
      <c r="U18" s="28">
        <v>3</v>
      </c>
      <c r="V18" s="28">
        <v>4</v>
      </c>
      <c r="W18" s="28">
        <v>4</v>
      </c>
      <c r="X18" s="28">
        <v>2</v>
      </c>
      <c r="Y18" s="28">
        <v>5</v>
      </c>
      <c r="Z18" s="28">
        <v>5</v>
      </c>
      <c r="AA18" s="106">
        <v>5</v>
      </c>
    </row>
    <row r="19" spans="3:27" ht="17" x14ac:dyDescent="0.5">
      <c r="C19" s="98"/>
      <c r="E19" s="23"/>
      <c r="H19" s="96"/>
      <c r="I19" s="99"/>
      <c r="J19" s="108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109"/>
    </row>
    <row r="20" spans="3:27" ht="17" x14ac:dyDescent="0.5">
      <c r="C20" s="98" t="s">
        <v>107</v>
      </c>
      <c r="E20" s="107"/>
      <c r="G20" s="24">
        <v>0.08</v>
      </c>
      <c r="H20" s="96"/>
      <c r="I20" s="99"/>
      <c r="J20" s="108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109"/>
    </row>
    <row r="21" spans="3:27" ht="17" x14ac:dyDescent="0.5">
      <c r="C21" s="98"/>
      <c r="D21" s="32" t="s">
        <v>108</v>
      </c>
      <c r="E21" s="23" t="s">
        <v>28</v>
      </c>
      <c r="F21" s="32">
        <v>2021</v>
      </c>
      <c r="H21" s="100">
        <v>0.08</v>
      </c>
      <c r="I21" s="121" t="str">
        <f>"(-200)%- 700%"</f>
        <v>(-200)%- 700%</v>
      </c>
      <c r="J21" s="105">
        <v>5</v>
      </c>
      <c r="K21" s="28">
        <v>5</v>
      </c>
      <c r="L21" s="28">
        <v>5</v>
      </c>
      <c r="M21" s="28">
        <v>5</v>
      </c>
      <c r="N21" s="28">
        <v>5</v>
      </c>
      <c r="O21" s="28">
        <v>5</v>
      </c>
      <c r="P21" s="28">
        <v>4</v>
      </c>
      <c r="Q21" s="28">
        <v>3</v>
      </c>
      <c r="R21" s="28">
        <v>3</v>
      </c>
      <c r="S21" s="28">
        <v>5</v>
      </c>
      <c r="T21" s="28">
        <v>3</v>
      </c>
      <c r="U21" s="28">
        <v>3</v>
      </c>
      <c r="V21" s="28">
        <v>3</v>
      </c>
      <c r="W21" s="28">
        <v>3</v>
      </c>
      <c r="X21" s="28">
        <v>2</v>
      </c>
      <c r="Y21" s="28">
        <v>2</v>
      </c>
      <c r="Z21" s="28">
        <v>3</v>
      </c>
      <c r="AA21" s="106">
        <v>1</v>
      </c>
    </row>
    <row r="22" spans="3:27" ht="17" x14ac:dyDescent="0.5">
      <c r="C22" s="98"/>
      <c r="E22" s="107"/>
      <c r="H22" s="96"/>
      <c r="I22" s="99"/>
      <c r="J22" s="108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109"/>
    </row>
    <row r="23" spans="3:27" ht="17" x14ac:dyDescent="0.5">
      <c r="C23" s="98" t="s">
        <v>109</v>
      </c>
      <c r="E23" s="107"/>
      <c r="G23" s="24">
        <v>0.14000000000000001</v>
      </c>
      <c r="H23" s="96"/>
      <c r="I23" s="99"/>
      <c r="J23" s="108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109"/>
    </row>
    <row r="24" spans="3:27" ht="17" x14ac:dyDescent="0.5">
      <c r="C24" s="98"/>
      <c r="D24" s="32" t="s">
        <v>110</v>
      </c>
      <c r="E24" s="23" t="s">
        <v>28</v>
      </c>
      <c r="F24" s="32">
        <v>2021</v>
      </c>
      <c r="H24" s="100">
        <v>0.14000000000000001</v>
      </c>
      <c r="I24" s="99" t="str">
        <f>"(-22)-  8"</f>
        <v>(-22)-  8</v>
      </c>
      <c r="J24" s="105">
        <v>2</v>
      </c>
      <c r="K24" s="28">
        <v>2</v>
      </c>
      <c r="L24" s="28">
        <v>1</v>
      </c>
      <c r="M24" s="28">
        <v>4</v>
      </c>
      <c r="N24" s="28">
        <v>3</v>
      </c>
      <c r="O24" s="28">
        <v>2</v>
      </c>
      <c r="P24" s="28">
        <v>3</v>
      </c>
      <c r="Q24" s="28">
        <v>4</v>
      </c>
      <c r="R24" s="28">
        <v>3</v>
      </c>
      <c r="S24" s="28">
        <v>3</v>
      </c>
      <c r="T24" s="28">
        <v>2</v>
      </c>
      <c r="U24" s="28">
        <v>3</v>
      </c>
      <c r="V24" s="28">
        <v>1</v>
      </c>
      <c r="W24" s="28">
        <v>2</v>
      </c>
      <c r="X24" s="28">
        <v>2</v>
      </c>
      <c r="Y24" s="28">
        <v>3</v>
      </c>
      <c r="Z24" s="28">
        <v>5</v>
      </c>
      <c r="AA24" s="106">
        <v>5</v>
      </c>
    </row>
    <row r="25" spans="3:27" ht="17" x14ac:dyDescent="0.5">
      <c r="C25" s="98"/>
      <c r="E25" s="107"/>
      <c r="H25" s="96"/>
      <c r="I25" s="99"/>
      <c r="J25" s="108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109"/>
    </row>
    <row r="26" spans="3:27" ht="17" x14ac:dyDescent="0.5">
      <c r="C26" s="98" t="s">
        <v>111</v>
      </c>
      <c r="E26" s="107"/>
      <c r="G26" s="24">
        <v>0.12</v>
      </c>
      <c r="H26" s="96"/>
      <c r="I26" s="99"/>
      <c r="J26" s="108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109"/>
    </row>
    <row r="27" spans="3:27" ht="17" x14ac:dyDescent="0.5">
      <c r="C27" s="98"/>
      <c r="D27" s="32" t="s">
        <v>112</v>
      </c>
      <c r="E27" s="23" t="s">
        <v>28</v>
      </c>
      <c r="F27" s="32">
        <v>2021</v>
      </c>
      <c r="H27" s="100">
        <v>0.12</v>
      </c>
      <c r="I27" s="99" t="str">
        <f>"1-15"</f>
        <v>1-15</v>
      </c>
      <c r="J27" s="105">
        <v>3</v>
      </c>
      <c r="K27" s="28">
        <v>1</v>
      </c>
      <c r="L27" s="28">
        <v>1</v>
      </c>
      <c r="M27" s="28">
        <v>2</v>
      </c>
      <c r="N27" s="28">
        <v>3</v>
      </c>
      <c r="O27" s="28">
        <v>2</v>
      </c>
      <c r="P27" s="28">
        <v>5</v>
      </c>
      <c r="Q27" s="28">
        <v>2</v>
      </c>
      <c r="R27" s="28">
        <v>2</v>
      </c>
      <c r="S27" s="28">
        <v>3</v>
      </c>
      <c r="T27" s="28">
        <v>4</v>
      </c>
      <c r="U27" s="28">
        <v>5</v>
      </c>
      <c r="V27" s="28">
        <v>1</v>
      </c>
      <c r="W27" s="28">
        <v>2</v>
      </c>
      <c r="X27" s="28">
        <v>2</v>
      </c>
      <c r="Y27" s="28">
        <v>2</v>
      </c>
      <c r="Z27" s="28">
        <v>5</v>
      </c>
      <c r="AA27" s="106">
        <v>4</v>
      </c>
    </row>
    <row r="28" spans="3:27" x14ac:dyDescent="0.35">
      <c r="C28" s="95"/>
      <c r="F28"/>
      <c r="H28" s="96"/>
      <c r="I28" s="97"/>
      <c r="J28" s="108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109"/>
    </row>
    <row r="29" spans="3:27" x14ac:dyDescent="0.35">
      <c r="C29" s="95"/>
      <c r="H29" s="96"/>
      <c r="I29" s="97"/>
      <c r="J29" s="108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109"/>
    </row>
    <row r="30" spans="3:27" x14ac:dyDescent="0.35">
      <c r="C30" s="95"/>
      <c r="H30" s="96"/>
      <c r="I30" s="97"/>
      <c r="J30" s="108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109"/>
    </row>
    <row r="31" spans="3:27" ht="17" x14ac:dyDescent="0.5">
      <c r="C31" s="95"/>
      <c r="G31" s="24"/>
      <c r="H31" s="100"/>
      <c r="I31" s="90"/>
      <c r="J31" s="122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4"/>
    </row>
    <row r="32" spans="3:27" ht="17.5" thickBot="1" x14ac:dyDescent="0.55000000000000004">
      <c r="C32" s="125"/>
      <c r="D32" s="126"/>
      <c r="E32" s="126"/>
      <c r="F32" s="126"/>
      <c r="G32" s="126"/>
      <c r="H32" s="127"/>
      <c r="I32" s="128" t="s">
        <v>113</v>
      </c>
      <c r="J32" s="129">
        <f t="shared" ref="J32:AA32" si="0">SUMPRODUCT($H$7:$H$28,J7:J28)</f>
        <v>2.6</v>
      </c>
      <c r="K32" s="130">
        <f t="shared" si="0"/>
        <v>3.0700000000000003</v>
      </c>
      <c r="L32" s="130">
        <f t="shared" si="0"/>
        <v>1.8400000000000003</v>
      </c>
      <c r="M32" s="130">
        <f t="shared" si="0"/>
        <v>2.95</v>
      </c>
      <c r="N32" s="130">
        <f t="shared" si="0"/>
        <v>3.14</v>
      </c>
      <c r="O32" s="130">
        <f t="shared" si="0"/>
        <v>2.3899999999999997</v>
      </c>
      <c r="P32" s="130">
        <f t="shared" si="0"/>
        <v>3.42</v>
      </c>
      <c r="Q32" s="130">
        <f t="shared" si="0"/>
        <v>3.4699999999999998</v>
      </c>
      <c r="R32" s="130">
        <f t="shared" si="0"/>
        <v>3.42</v>
      </c>
      <c r="S32" s="130">
        <f t="shared" si="0"/>
        <v>2.65</v>
      </c>
      <c r="T32" s="130">
        <f t="shared" si="0"/>
        <v>3.1500000000000008</v>
      </c>
      <c r="U32" s="130">
        <f t="shared" si="0"/>
        <v>3.7900000000000005</v>
      </c>
      <c r="V32" s="130">
        <f t="shared" si="0"/>
        <v>2.3300000000000005</v>
      </c>
      <c r="W32" s="130">
        <f t="shared" si="0"/>
        <v>2.9800000000000004</v>
      </c>
      <c r="X32" s="130">
        <f t="shared" si="0"/>
        <v>2.6100000000000003</v>
      </c>
      <c r="Y32" s="130">
        <f t="shared" si="0"/>
        <v>3.6500000000000004</v>
      </c>
      <c r="Z32" s="130">
        <f t="shared" si="0"/>
        <v>4.3600000000000003</v>
      </c>
      <c r="AA32" s="131">
        <f t="shared" si="0"/>
        <v>3.16</v>
      </c>
    </row>
    <row r="33" spans="3:13" ht="15" thickTop="1" x14ac:dyDescent="0.35"/>
    <row r="37" spans="3:13" ht="21" x14ac:dyDescent="0.5">
      <c r="C37" s="1" t="s">
        <v>114</v>
      </c>
      <c r="G37" s="132" t="s">
        <v>115</v>
      </c>
      <c r="H37" s="133"/>
      <c r="I37" s="133"/>
      <c r="L37" s="132" t="s">
        <v>116</v>
      </c>
      <c r="M37" s="48"/>
    </row>
    <row r="38" spans="3:13" ht="15" thickBot="1" x14ac:dyDescent="0.4">
      <c r="G38" s="133"/>
      <c r="H38" s="133"/>
      <c r="I38" s="133"/>
      <c r="L38" s="48"/>
      <c r="M38" s="48"/>
    </row>
    <row r="39" spans="3:13" ht="16" thickTop="1" x14ac:dyDescent="0.45">
      <c r="G39" s="49"/>
      <c r="H39" s="50"/>
      <c r="I39" s="51"/>
      <c r="L39" s="134"/>
      <c r="M39" s="134"/>
    </row>
    <row r="40" spans="3:13" ht="22" x14ac:dyDescent="0.65">
      <c r="G40" s="52"/>
      <c r="H40" s="53"/>
      <c r="I40" s="54"/>
      <c r="L40" s="134"/>
      <c r="M40" s="134"/>
    </row>
    <row r="41" spans="3:13" ht="22" x14ac:dyDescent="0.65">
      <c r="G41" s="52"/>
      <c r="H41" s="53" t="s">
        <v>2</v>
      </c>
      <c r="I41" s="54"/>
      <c r="K41" s="135"/>
      <c r="L41" s="136" t="s">
        <v>18</v>
      </c>
      <c r="M41" s="137"/>
    </row>
    <row r="42" spans="3:13" ht="18" x14ac:dyDescent="0.5">
      <c r="G42" s="55"/>
      <c r="H42" s="56" t="s">
        <v>4</v>
      </c>
      <c r="I42" s="57"/>
      <c r="K42" s="135"/>
      <c r="L42" s="136" t="s">
        <v>13</v>
      </c>
      <c r="M42" s="137"/>
    </row>
    <row r="43" spans="3:13" ht="18" x14ac:dyDescent="0.5">
      <c r="G43" s="55"/>
      <c r="H43" s="56" t="s">
        <v>7</v>
      </c>
      <c r="I43" s="57"/>
      <c r="K43" s="135"/>
      <c r="L43" s="136" t="s">
        <v>17</v>
      </c>
      <c r="M43" s="137"/>
    </row>
    <row r="44" spans="3:13" x14ac:dyDescent="0.35">
      <c r="G44" s="58"/>
      <c r="H44" s="5"/>
      <c r="I44" s="57"/>
      <c r="L44" s="134"/>
      <c r="M44" s="134"/>
    </row>
    <row r="45" spans="3:13" x14ac:dyDescent="0.35">
      <c r="G45" s="58"/>
      <c r="H45" s="5"/>
      <c r="I45" s="57"/>
      <c r="L45" s="134"/>
      <c r="M45" s="134"/>
    </row>
    <row r="46" spans="3:13" ht="15" thickBot="1" x14ac:dyDescent="0.4">
      <c r="G46" s="59"/>
      <c r="H46" s="60"/>
      <c r="I46" s="61"/>
      <c r="L46" s="134"/>
      <c r="M46" s="134"/>
    </row>
    <row r="47" spans="3:13" ht="15" thickTop="1" x14ac:dyDescent="0.35"/>
  </sheetData>
  <hyperlinks>
    <hyperlink ref="E7" r:id="rId1" xr:uid="{969D4CD3-C3F3-45AF-9072-A64EF5FD8D67}"/>
    <hyperlink ref="E8" r:id="rId2" xr:uid="{E36A1A7C-A829-45AD-80B7-C98D38B14F32}"/>
    <hyperlink ref="E11" r:id="rId3" xr:uid="{C7BDB078-CDED-4EB0-AD28-44405818C225}"/>
    <hyperlink ref="E14" r:id="rId4" xr:uid="{82DA2F06-61E0-45CA-BF18-73AC65E2318F}"/>
    <hyperlink ref="E17" r:id="rId5" xr:uid="{95990724-9732-4444-B37F-AFF48C127283}"/>
    <hyperlink ref="E21" r:id="rId6" xr:uid="{ABCED8B4-8715-44A1-A484-07D0F5C2D1FA}"/>
  </hyperlinks>
  <pageMargins left="0.7" right="0.7" top="0.75" bottom="0.75" header="0.3" footer="0.3"/>
  <pageSetup orientation="portrait" horizontalDpi="90" verticalDpi="90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5FD37-EB56-48E2-B701-E44044921D4B}">
  <sheetPr codeName="Sheet20"/>
  <dimension ref="A1:J104"/>
  <sheetViews>
    <sheetView topLeftCell="A61" workbookViewId="0">
      <selection activeCell="C79" sqref="C79"/>
    </sheetView>
  </sheetViews>
  <sheetFormatPr defaultRowHeight="14.5" x14ac:dyDescent="0.35"/>
  <cols>
    <col min="1" max="1" width="27.90625" style="1" customWidth="1"/>
    <col min="2" max="2" width="18.81640625" style="1" customWidth="1"/>
    <col min="3" max="3" width="26.81640625" style="1" customWidth="1"/>
    <col min="4" max="16384" width="8.7265625" style="1"/>
  </cols>
  <sheetData>
    <row r="1" spans="1:4" ht="17" x14ac:dyDescent="0.5">
      <c r="A1" s="80" t="s">
        <v>93</v>
      </c>
      <c r="B1" s="32"/>
      <c r="C1" s="32"/>
      <c r="D1" s="32"/>
    </row>
    <row r="2" spans="1:4" ht="15" thickBot="1" x14ac:dyDescent="0.4">
      <c r="A2" s="32"/>
      <c r="B2" s="32" t="s">
        <v>94</v>
      </c>
      <c r="C2" s="32"/>
      <c r="D2" s="32"/>
    </row>
    <row r="3" spans="1:4" ht="15.5" thickTop="1" thickBot="1" x14ac:dyDescent="0.4">
      <c r="A3" s="32"/>
      <c r="B3" s="76" t="s">
        <v>51</v>
      </c>
      <c r="C3" s="76" t="s">
        <v>52</v>
      </c>
      <c r="D3" s="32"/>
    </row>
    <row r="4" spans="1:4" ht="15.5" thickTop="1" thickBot="1" x14ac:dyDescent="0.4">
      <c r="A4" s="32"/>
      <c r="B4" s="76">
        <v>1</v>
      </c>
      <c r="C4" s="76" t="s">
        <v>117</v>
      </c>
      <c r="D4" s="32"/>
    </row>
    <row r="5" spans="1:4" ht="15.5" thickTop="1" thickBot="1" x14ac:dyDescent="0.4">
      <c r="A5" s="32"/>
      <c r="B5" s="76">
        <v>2</v>
      </c>
      <c r="C5" s="76" t="s">
        <v>118</v>
      </c>
      <c r="D5" s="32"/>
    </row>
    <row r="6" spans="1:4" ht="15.5" thickTop="1" thickBot="1" x14ac:dyDescent="0.4">
      <c r="A6" s="32"/>
      <c r="B6" s="76">
        <v>3</v>
      </c>
      <c r="C6" s="76" t="s">
        <v>119</v>
      </c>
      <c r="D6" s="32"/>
    </row>
    <row r="7" spans="1:4" ht="15.5" thickTop="1" thickBot="1" x14ac:dyDescent="0.4">
      <c r="A7" s="32"/>
      <c r="B7" s="76">
        <v>4</v>
      </c>
      <c r="C7" s="76" t="s">
        <v>120</v>
      </c>
      <c r="D7" s="32"/>
    </row>
    <row r="8" spans="1:4" ht="15.5" thickTop="1" thickBot="1" x14ac:dyDescent="0.4">
      <c r="A8" s="32"/>
      <c r="B8" s="76">
        <v>5</v>
      </c>
      <c r="C8" s="76" t="s">
        <v>121</v>
      </c>
      <c r="D8" s="32"/>
    </row>
    <row r="9" spans="1:4" ht="15" thickTop="1" x14ac:dyDescent="0.35">
      <c r="A9" s="32"/>
      <c r="B9" s="32"/>
      <c r="C9" s="32"/>
      <c r="D9" s="32"/>
    </row>
    <row r="10" spans="1:4" ht="15" thickBot="1" x14ac:dyDescent="0.4">
      <c r="A10" s="32"/>
      <c r="B10" s="32" t="s">
        <v>96</v>
      </c>
      <c r="C10" s="32"/>
      <c r="D10" s="32"/>
    </row>
    <row r="11" spans="1:4" ht="15.5" thickTop="1" thickBot="1" x14ac:dyDescent="0.4">
      <c r="A11" s="32"/>
      <c r="B11" s="76" t="s">
        <v>51</v>
      </c>
      <c r="C11" s="76" t="s">
        <v>52</v>
      </c>
      <c r="D11" s="32"/>
    </row>
    <row r="12" spans="1:4" ht="15.5" thickTop="1" thickBot="1" x14ac:dyDescent="0.4">
      <c r="A12" s="32"/>
      <c r="B12" s="76">
        <v>1</v>
      </c>
      <c r="C12" s="76" t="s">
        <v>122</v>
      </c>
      <c r="D12" s="32"/>
    </row>
    <row r="13" spans="1:4" ht="15.5" thickTop="1" thickBot="1" x14ac:dyDescent="0.4">
      <c r="A13" s="32"/>
      <c r="B13" s="76">
        <v>2</v>
      </c>
      <c r="C13" s="76" t="s">
        <v>123</v>
      </c>
      <c r="D13" s="32"/>
    </row>
    <row r="14" spans="1:4" ht="15.5" thickTop="1" thickBot="1" x14ac:dyDescent="0.4">
      <c r="A14" s="32"/>
      <c r="B14" s="76">
        <v>3</v>
      </c>
      <c r="C14" s="76" t="s">
        <v>124</v>
      </c>
      <c r="D14" s="32"/>
    </row>
    <row r="15" spans="1:4" ht="15.5" thickTop="1" thickBot="1" x14ac:dyDescent="0.4">
      <c r="A15" s="32"/>
      <c r="B15" s="76">
        <v>4</v>
      </c>
      <c r="C15" s="76" t="s">
        <v>125</v>
      </c>
      <c r="D15" s="32"/>
    </row>
    <row r="16" spans="1:4" ht="15.5" thickTop="1" thickBot="1" x14ac:dyDescent="0.4">
      <c r="A16" s="32"/>
      <c r="B16" s="76">
        <v>5</v>
      </c>
      <c r="C16" s="76" t="s">
        <v>126</v>
      </c>
      <c r="D16" s="32"/>
    </row>
    <row r="17" spans="1:4" ht="17.5" thickTop="1" x14ac:dyDescent="0.5">
      <c r="A17" s="80" t="s">
        <v>97</v>
      </c>
      <c r="B17" s="32"/>
      <c r="C17" s="32"/>
      <c r="D17" s="32"/>
    </row>
    <row r="18" spans="1:4" ht="15" thickBot="1" x14ac:dyDescent="0.4">
      <c r="A18" s="32"/>
      <c r="B18" s="32" t="s">
        <v>98</v>
      </c>
      <c r="C18" s="32"/>
      <c r="D18" s="32"/>
    </row>
    <row r="19" spans="1:4" ht="15.5" thickTop="1" thickBot="1" x14ac:dyDescent="0.4">
      <c r="A19" s="32"/>
      <c r="B19" s="76" t="s">
        <v>51</v>
      </c>
      <c r="C19" s="76" t="s">
        <v>52</v>
      </c>
      <c r="D19" s="32"/>
    </row>
    <row r="20" spans="1:4" ht="15.5" thickTop="1" thickBot="1" x14ac:dyDescent="0.4">
      <c r="A20" s="32"/>
      <c r="B20" s="76">
        <v>1</v>
      </c>
      <c r="C20" s="76" t="s">
        <v>127</v>
      </c>
      <c r="D20" s="32"/>
    </row>
    <row r="21" spans="1:4" ht="15.5" thickTop="1" thickBot="1" x14ac:dyDescent="0.4">
      <c r="A21" s="32"/>
      <c r="B21" s="76">
        <v>2</v>
      </c>
      <c r="C21" s="138" t="s">
        <v>128</v>
      </c>
      <c r="D21" s="32"/>
    </row>
    <row r="22" spans="1:4" ht="15.5" thickTop="1" thickBot="1" x14ac:dyDescent="0.4">
      <c r="A22" s="32"/>
      <c r="B22" s="76">
        <v>3</v>
      </c>
      <c r="C22" s="138" t="s">
        <v>129</v>
      </c>
      <c r="D22" s="32"/>
    </row>
    <row r="23" spans="1:4" ht="15.5" thickTop="1" thickBot="1" x14ac:dyDescent="0.4">
      <c r="A23" s="32"/>
      <c r="B23" s="76">
        <v>4</v>
      </c>
      <c r="C23" s="76" t="s">
        <v>130</v>
      </c>
      <c r="D23" s="32"/>
    </row>
    <row r="24" spans="1:4" ht="15.5" thickTop="1" thickBot="1" x14ac:dyDescent="0.4">
      <c r="A24" s="32"/>
      <c r="B24" s="76">
        <v>5</v>
      </c>
      <c r="C24" s="76" t="s">
        <v>131</v>
      </c>
      <c r="D24" s="32"/>
    </row>
    <row r="25" spans="1:4" ht="15" thickTop="1" x14ac:dyDescent="0.35">
      <c r="A25" s="32"/>
      <c r="B25" s="32"/>
      <c r="C25" s="32"/>
      <c r="D25" s="32"/>
    </row>
    <row r="26" spans="1:4" ht="17" x14ac:dyDescent="0.5">
      <c r="A26" s="80" t="s">
        <v>100</v>
      </c>
      <c r="B26" s="32"/>
      <c r="C26" s="32"/>
      <c r="D26" s="32"/>
    </row>
    <row r="27" spans="1:4" ht="17.5" thickBot="1" x14ac:dyDescent="0.55000000000000004">
      <c r="A27" s="80"/>
      <c r="B27" s="32" t="s">
        <v>101</v>
      </c>
      <c r="C27" s="32"/>
      <c r="D27" s="32"/>
    </row>
    <row r="28" spans="1:4" ht="15.5" thickTop="1" thickBot="1" x14ac:dyDescent="0.4">
      <c r="A28" s="32"/>
      <c r="B28" s="76" t="s">
        <v>51</v>
      </c>
      <c r="C28" s="76" t="s">
        <v>52</v>
      </c>
      <c r="D28" s="32"/>
    </row>
    <row r="29" spans="1:4" ht="15.5" thickTop="1" thickBot="1" x14ac:dyDescent="0.4">
      <c r="A29" s="32"/>
      <c r="B29" s="76">
        <v>1</v>
      </c>
      <c r="C29" s="76" t="s">
        <v>132</v>
      </c>
      <c r="D29" s="32"/>
    </row>
    <row r="30" spans="1:4" ht="15.5" thickTop="1" thickBot="1" x14ac:dyDescent="0.4">
      <c r="A30" s="32"/>
      <c r="B30" s="76">
        <v>2</v>
      </c>
      <c r="C30" s="138" t="s">
        <v>133</v>
      </c>
      <c r="D30" s="32"/>
    </row>
    <row r="31" spans="1:4" ht="15.5" thickTop="1" thickBot="1" x14ac:dyDescent="0.4">
      <c r="A31" s="32"/>
      <c r="B31" s="76">
        <v>3</v>
      </c>
      <c r="C31" s="138" t="s">
        <v>134</v>
      </c>
      <c r="D31" s="32"/>
    </row>
    <row r="32" spans="1:4" ht="15.5" thickTop="1" thickBot="1" x14ac:dyDescent="0.4">
      <c r="A32" s="32"/>
      <c r="B32" s="76">
        <v>4</v>
      </c>
      <c r="C32" s="76" t="s">
        <v>135</v>
      </c>
      <c r="D32" s="32"/>
    </row>
    <row r="33" spans="1:10" ht="15.5" thickTop="1" thickBot="1" x14ac:dyDescent="0.4">
      <c r="A33" s="32"/>
      <c r="B33" s="76">
        <v>5</v>
      </c>
      <c r="C33" s="76" t="s">
        <v>136</v>
      </c>
      <c r="D33" s="32"/>
    </row>
    <row r="34" spans="1:10" ht="15.5" thickTop="1" thickBot="1" x14ac:dyDescent="0.4">
      <c r="A34" s="32"/>
      <c r="B34" s="76"/>
      <c r="C34" s="76"/>
      <c r="D34" s="32"/>
    </row>
    <row r="35" spans="1:10" ht="17.5" thickTop="1" x14ac:dyDescent="0.35">
      <c r="A35" s="139" t="s">
        <v>103</v>
      </c>
      <c r="B35" s="140"/>
      <c r="C35" s="21"/>
      <c r="D35" s="21"/>
    </row>
    <row r="36" spans="1:10" ht="17.5" thickBot="1" x14ac:dyDescent="0.4">
      <c r="A36" s="139"/>
      <c r="B36" s="21" t="s">
        <v>104</v>
      </c>
      <c r="C36" s="21"/>
      <c r="D36" s="21"/>
    </row>
    <row r="37" spans="1:10" ht="15.5" thickTop="1" thickBot="1" x14ac:dyDescent="0.4">
      <c r="A37" s="21"/>
      <c r="B37" s="141" t="s">
        <v>51</v>
      </c>
      <c r="C37" s="141" t="s">
        <v>52</v>
      </c>
      <c r="D37" s="21"/>
    </row>
    <row r="38" spans="1:10" ht="15.5" thickTop="1" thickBot="1" x14ac:dyDescent="0.4">
      <c r="A38" s="21"/>
      <c r="B38" s="141">
        <v>1</v>
      </c>
      <c r="C38" s="142" t="s">
        <v>137</v>
      </c>
      <c r="D38" s="21"/>
    </row>
    <row r="39" spans="1:10" ht="15.5" thickTop="1" thickBot="1" x14ac:dyDescent="0.4">
      <c r="A39" s="21"/>
      <c r="B39" s="141">
        <v>2</v>
      </c>
      <c r="C39" s="141" t="s">
        <v>138</v>
      </c>
      <c r="D39" s="21"/>
    </row>
    <row r="40" spans="1:10" ht="15.5" thickTop="1" thickBot="1" x14ac:dyDescent="0.4">
      <c r="A40" s="21"/>
      <c r="B40" s="141">
        <v>3</v>
      </c>
      <c r="C40" s="141" t="s">
        <v>139</v>
      </c>
      <c r="D40" s="21"/>
      <c r="H40" s="143"/>
      <c r="J40" s="144"/>
    </row>
    <row r="41" spans="1:10" ht="15.5" thickTop="1" thickBot="1" x14ac:dyDescent="0.4">
      <c r="A41" s="21"/>
      <c r="B41" s="141">
        <v>4</v>
      </c>
      <c r="C41" s="141" t="s">
        <v>140</v>
      </c>
      <c r="D41" s="21"/>
      <c r="H41" s="144"/>
    </row>
    <row r="42" spans="1:10" ht="15.5" thickTop="1" thickBot="1" x14ac:dyDescent="0.4">
      <c r="A42" s="21"/>
      <c r="B42" s="141">
        <v>5</v>
      </c>
      <c r="C42" s="141" t="s">
        <v>141</v>
      </c>
      <c r="D42" s="21"/>
    </row>
    <row r="43" spans="1:10" ht="15" thickTop="1" x14ac:dyDescent="0.35">
      <c r="A43" s="21"/>
      <c r="B43" s="21"/>
      <c r="C43" s="21"/>
      <c r="D43" s="21"/>
    </row>
    <row r="44" spans="1:10" ht="17.5" thickBot="1" x14ac:dyDescent="0.4">
      <c r="A44" s="139"/>
      <c r="B44" s="21" t="s">
        <v>105</v>
      </c>
      <c r="C44" s="21"/>
      <c r="D44" s="21"/>
    </row>
    <row r="45" spans="1:10" ht="15.5" thickTop="1" thickBot="1" x14ac:dyDescent="0.4">
      <c r="A45" s="21"/>
      <c r="B45" s="141" t="s">
        <v>51</v>
      </c>
      <c r="C45" s="141" t="s">
        <v>52</v>
      </c>
      <c r="D45" s="21"/>
    </row>
    <row r="46" spans="1:10" ht="15.5" thickTop="1" thickBot="1" x14ac:dyDescent="0.4">
      <c r="A46" s="21"/>
      <c r="B46" s="141">
        <v>1</v>
      </c>
      <c r="C46" s="141" t="s">
        <v>142</v>
      </c>
      <c r="D46" s="21"/>
    </row>
    <row r="47" spans="1:10" ht="15.5" thickTop="1" thickBot="1" x14ac:dyDescent="0.4">
      <c r="A47" s="21"/>
      <c r="B47" s="141">
        <v>2</v>
      </c>
      <c r="C47" s="141" t="s">
        <v>143</v>
      </c>
      <c r="D47" s="21"/>
    </row>
    <row r="48" spans="1:10" ht="15.5" thickTop="1" thickBot="1" x14ac:dyDescent="0.4">
      <c r="A48" s="21"/>
      <c r="B48" s="141">
        <v>3</v>
      </c>
      <c r="C48" s="141" t="s">
        <v>144</v>
      </c>
      <c r="D48" s="21"/>
    </row>
    <row r="49" spans="1:7" ht="15.5" thickTop="1" thickBot="1" x14ac:dyDescent="0.4">
      <c r="A49" s="21"/>
      <c r="B49" s="141">
        <v>4</v>
      </c>
      <c r="C49" s="141" t="s">
        <v>145</v>
      </c>
      <c r="D49" s="21"/>
    </row>
    <row r="50" spans="1:7" ht="15.5" thickTop="1" thickBot="1" x14ac:dyDescent="0.4">
      <c r="A50" s="21"/>
      <c r="B50" s="141">
        <v>5</v>
      </c>
      <c r="C50" s="141" t="s">
        <v>146</v>
      </c>
      <c r="D50" s="21"/>
    </row>
    <row r="51" spans="1:7" ht="15" thickTop="1" x14ac:dyDescent="0.35">
      <c r="A51" s="21"/>
      <c r="B51" s="21"/>
      <c r="C51" s="21"/>
      <c r="D51" s="21"/>
    </row>
    <row r="52" spans="1:7" ht="17" x14ac:dyDescent="0.35">
      <c r="A52" s="139" t="s">
        <v>107</v>
      </c>
      <c r="B52" s="140"/>
      <c r="C52" s="21"/>
      <c r="D52" s="21"/>
    </row>
    <row r="53" spans="1:7" ht="17.5" thickBot="1" x14ac:dyDescent="0.4">
      <c r="A53" s="139"/>
      <c r="B53" s="21" t="s">
        <v>108</v>
      </c>
      <c r="C53" s="21"/>
      <c r="D53" s="21"/>
      <c r="G53" s="1" t="s">
        <v>147</v>
      </c>
    </row>
    <row r="54" spans="1:7" ht="15.5" thickTop="1" thickBot="1" x14ac:dyDescent="0.4">
      <c r="A54" s="21"/>
      <c r="B54" s="141" t="s">
        <v>51</v>
      </c>
      <c r="C54" s="141" t="s">
        <v>52</v>
      </c>
      <c r="D54" s="21"/>
    </row>
    <row r="55" spans="1:7" ht="15.5" thickTop="1" thickBot="1" x14ac:dyDescent="0.4">
      <c r="A55" s="21"/>
      <c r="B55" s="141">
        <v>1</v>
      </c>
      <c r="C55" s="145" t="str">
        <f>"650%-700%"</f>
        <v>650%-700%</v>
      </c>
      <c r="D55" s="21"/>
    </row>
    <row r="56" spans="1:7" ht="15.5" thickTop="1" thickBot="1" x14ac:dyDescent="0.4">
      <c r="A56" s="21"/>
      <c r="B56" s="141">
        <v>2</v>
      </c>
      <c r="C56" s="141" t="str">
        <f>"550%-650%"</f>
        <v>550%-650%</v>
      </c>
      <c r="D56" s="21"/>
    </row>
    <row r="57" spans="1:7" ht="15.5" thickTop="1" thickBot="1" x14ac:dyDescent="0.4">
      <c r="A57" s="21"/>
      <c r="B57" s="141">
        <v>3</v>
      </c>
      <c r="C57" s="141" t="str">
        <f>"400%-550%"</f>
        <v>400%-550%</v>
      </c>
      <c r="D57" s="21"/>
    </row>
    <row r="58" spans="1:7" ht="15.5" thickTop="1" thickBot="1" x14ac:dyDescent="0.4">
      <c r="A58" s="21"/>
      <c r="B58" s="141">
        <v>4</v>
      </c>
      <c r="C58" s="145" t="str">
        <f>"200%-400%"</f>
        <v>200%-400%</v>
      </c>
      <c r="D58" s="21"/>
    </row>
    <row r="59" spans="1:7" ht="15.5" thickTop="1" thickBot="1" x14ac:dyDescent="0.4">
      <c r="A59" s="21"/>
      <c r="B59" s="141">
        <v>5</v>
      </c>
      <c r="C59" s="146" t="str">
        <f>"-50%-200%"</f>
        <v>-50%-200%</v>
      </c>
      <c r="D59" s="21"/>
    </row>
    <row r="60" spans="1:7" ht="15" thickTop="1" x14ac:dyDescent="0.35">
      <c r="A60" s="21"/>
      <c r="B60" s="21"/>
      <c r="C60" s="21"/>
      <c r="D60" s="21"/>
    </row>
    <row r="61" spans="1:7" ht="17" x14ac:dyDescent="0.35">
      <c r="A61" s="139" t="s">
        <v>109</v>
      </c>
      <c r="B61" s="21"/>
      <c r="C61" s="21"/>
      <c r="D61" s="21"/>
    </row>
    <row r="62" spans="1:7" ht="15" thickBot="1" x14ac:dyDescent="0.4">
      <c r="A62" s="21"/>
      <c r="B62" s="21" t="s">
        <v>110</v>
      </c>
      <c r="C62" s="21"/>
      <c r="D62" s="21"/>
    </row>
    <row r="63" spans="1:7" ht="15.5" thickTop="1" thickBot="1" x14ac:dyDescent="0.4">
      <c r="A63" s="21"/>
      <c r="B63" s="141" t="s">
        <v>51</v>
      </c>
      <c r="C63" s="141" t="s">
        <v>52</v>
      </c>
      <c r="D63" s="21"/>
      <c r="F63" s="147"/>
    </row>
    <row r="64" spans="1:7" ht="15.5" thickTop="1" thickBot="1" x14ac:dyDescent="0.4">
      <c r="A64" s="21"/>
      <c r="B64" s="141">
        <v>5</v>
      </c>
      <c r="C64" s="141" t="s">
        <v>148</v>
      </c>
      <c r="D64" s="21"/>
    </row>
    <row r="65" spans="1:9" ht="15.5" thickTop="1" thickBot="1" x14ac:dyDescent="0.4">
      <c r="A65" s="21"/>
      <c r="B65" s="141">
        <v>4</v>
      </c>
      <c r="C65" s="141" t="s">
        <v>149</v>
      </c>
      <c r="D65" s="21"/>
    </row>
    <row r="66" spans="1:9" ht="15.5" thickTop="1" thickBot="1" x14ac:dyDescent="0.4">
      <c r="A66" s="21"/>
      <c r="B66" s="141">
        <v>3</v>
      </c>
      <c r="C66" s="141" t="s">
        <v>150</v>
      </c>
      <c r="D66" s="21"/>
    </row>
    <row r="67" spans="1:9" ht="15.5" thickTop="1" thickBot="1" x14ac:dyDescent="0.4">
      <c r="A67" s="21"/>
      <c r="B67" s="141">
        <v>2</v>
      </c>
      <c r="C67" s="141" t="s">
        <v>151</v>
      </c>
      <c r="D67" s="21"/>
    </row>
    <row r="68" spans="1:9" ht="15.5" thickTop="1" thickBot="1" x14ac:dyDescent="0.4">
      <c r="A68" s="21"/>
      <c r="B68" s="141">
        <v>1</v>
      </c>
      <c r="C68" s="141" t="s">
        <v>152</v>
      </c>
      <c r="D68" s="21"/>
    </row>
    <row r="69" spans="1:9" ht="17.5" thickTop="1" x14ac:dyDescent="0.35">
      <c r="A69" s="139" t="s">
        <v>111</v>
      </c>
      <c r="B69" s="140"/>
      <c r="C69" s="21"/>
      <c r="D69" s="21"/>
    </row>
    <row r="70" spans="1:9" ht="17.5" thickBot="1" x14ac:dyDescent="0.4">
      <c r="A70" s="139"/>
      <c r="B70" s="21" t="s">
        <v>112</v>
      </c>
      <c r="C70" s="21"/>
      <c r="D70" s="21"/>
    </row>
    <row r="71" spans="1:9" ht="15.5" thickTop="1" thickBot="1" x14ac:dyDescent="0.4">
      <c r="A71" s="21"/>
      <c r="B71" s="141" t="s">
        <v>51</v>
      </c>
      <c r="C71" s="141" t="s">
        <v>52</v>
      </c>
      <c r="D71" s="21"/>
      <c r="F71" s="148"/>
    </row>
    <row r="72" spans="1:9" ht="15.5" thickTop="1" thickBot="1" x14ac:dyDescent="0.4">
      <c r="A72" s="21"/>
      <c r="B72" s="141">
        <v>5</v>
      </c>
      <c r="C72" s="141" t="s">
        <v>153</v>
      </c>
      <c r="D72" s="21"/>
    </row>
    <row r="73" spans="1:9" ht="15.5" thickTop="1" thickBot="1" x14ac:dyDescent="0.4">
      <c r="A73" s="21"/>
      <c r="B73" s="141">
        <v>4</v>
      </c>
      <c r="C73" s="142" t="str">
        <f>"11-13"</f>
        <v>11-13</v>
      </c>
      <c r="D73" s="21"/>
    </row>
    <row r="74" spans="1:9" ht="15.5" thickTop="1" thickBot="1" x14ac:dyDescent="0.4">
      <c r="A74" s="21"/>
      <c r="B74" s="141">
        <v>3</v>
      </c>
      <c r="C74" s="141" t="str">
        <f>"8-11"</f>
        <v>8-11</v>
      </c>
      <c r="D74" s="21"/>
    </row>
    <row r="75" spans="1:9" ht="15.5" thickTop="1" thickBot="1" x14ac:dyDescent="0.4">
      <c r="A75" s="21"/>
      <c r="B75" s="141">
        <v>2</v>
      </c>
      <c r="C75" s="141" t="str">
        <f>"5-8"</f>
        <v>5-8</v>
      </c>
      <c r="D75" s="21"/>
    </row>
    <row r="76" spans="1:9" ht="15.5" thickTop="1" thickBot="1" x14ac:dyDescent="0.4">
      <c r="A76" s="21"/>
      <c r="B76" s="141">
        <v>1</v>
      </c>
      <c r="C76" s="141" t="str">
        <f>"1-5"</f>
        <v>1-5</v>
      </c>
      <c r="D76" s="21"/>
    </row>
    <row r="77" spans="1:9" ht="15" thickTop="1" x14ac:dyDescent="0.35">
      <c r="A77" s="21"/>
      <c r="B77" s="21"/>
      <c r="C77" s="21"/>
      <c r="D77" s="21"/>
    </row>
    <row r="78" spans="1:9" ht="17" x14ac:dyDescent="0.35">
      <c r="A78" s="139"/>
      <c r="B78" s="21"/>
      <c r="C78" s="21"/>
      <c r="D78" s="21"/>
    </row>
    <row r="79" spans="1:9" x14ac:dyDescent="0.35">
      <c r="A79" s="21"/>
      <c r="B79" s="21"/>
      <c r="C79" s="21"/>
      <c r="D79" s="21"/>
      <c r="I79" s="148"/>
    </row>
    <row r="80" spans="1:9" x14ac:dyDescent="0.35">
      <c r="A80" s="21"/>
      <c r="B80" s="21"/>
      <c r="C80" s="21"/>
      <c r="D80" s="21"/>
    </row>
    <row r="87" spans="1:8" x14ac:dyDescent="0.35">
      <c r="B87" s="149"/>
    </row>
    <row r="93" spans="1:8" x14ac:dyDescent="0.35">
      <c r="C93" s="148"/>
    </row>
    <row r="94" spans="1:8" x14ac:dyDescent="0.35">
      <c r="H94" s="148"/>
    </row>
    <row r="95" spans="1:8" x14ac:dyDescent="0.35">
      <c r="A95" s="150"/>
    </row>
    <row r="96" spans="1:8" x14ac:dyDescent="0.35">
      <c r="B96" s="22"/>
    </row>
    <row r="98" spans="2:3" x14ac:dyDescent="0.35">
      <c r="C98" s="148"/>
    </row>
    <row r="104" spans="2:3" x14ac:dyDescent="0.35">
      <c r="B104" s="22"/>
    </row>
  </sheetData>
  <dataConsolidate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04860-449C-45FE-A555-C53131C0807F}">
  <sheetPr codeName="Sheet17"/>
  <dimension ref="B2:AC64"/>
  <sheetViews>
    <sheetView topLeftCell="A33" zoomScale="67" workbookViewId="0">
      <selection activeCell="E39" sqref="E39"/>
    </sheetView>
  </sheetViews>
  <sheetFormatPr defaultColWidth="3.453125" defaultRowHeight="14.5" x14ac:dyDescent="0.35"/>
  <cols>
    <col min="1" max="1" width="3.453125" style="1"/>
    <col min="2" max="2" width="31.453125" style="1" bestFit="1" customWidth="1"/>
    <col min="3" max="3" width="77.7265625" style="1" bestFit="1" customWidth="1"/>
    <col min="4" max="4" width="8.54296875" style="1" bestFit="1" customWidth="1"/>
    <col min="5" max="5" width="40" style="1" bestFit="1" customWidth="1"/>
    <col min="6" max="6" width="13.26953125" style="1" bestFit="1" customWidth="1"/>
    <col min="7" max="7" width="20.26953125" style="1" bestFit="1" customWidth="1"/>
    <col min="8" max="8" width="10.36328125" style="1" customWidth="1"/>
    <col min="9" max="9" width="3.453125" style="1" customWidth="1"/>
    <col min="10" max="10" width="3.453125" style="1"/>
    <col min="11" max="11" width="11.453125" style="1" bestFit="1" customWidth="1"/>
    <col min="12" max="12" width="9.08984375" style="1" bestFit="1" customWidth="1"/>
    <col min="13" max="13" width="17.453125" style="1" bestFit="1" customWidth="1"/>
    <col min="14" max="14" width="21.81640625" style="1" customWidth="1"/>
    <col min="15" max="15" width="10.6328125" style="1" bestFit="1" customWidth="1"/>
    <col min="16" max="16" width="18.6328125" style="1" bestFit="1" customWidth="1"/>
    <col min="17" max="17" width="11.08984375" style="1" bestFit="1" customWidth="1"/>
    <col min="18" max="18" width="8.90625" style="1" bestFit="1" customWidth="1"/>
    <col min="19" max="19" width="13.36328125" style="1" bestFit="1" customWidth="1"/>
    <col min="20" max="20" width="7.453125" style="1" bestFit="1" customWidth="1"/>
    <col min="21" max="21" width="7.81640625" style="1" bestFit="1" customWidth="1"/>
    <col min="22" max="22" width="9.7265625" style="1" bestFit="1" customWidth="1"/>
    <col min="23" max="23" width="13.36328125" style="1" bestFit="1" customWidth="1"/>
    <col min="24" max="24" width="10.36328125" style="1" bestFit="1" customWidth="1"/>
    <col min="25" max="25" width="10" style="1" bestFit="1" customWidth="1"/>
    <col min="26" max="26" width="13.36328125" style="1" bestFit="1" customWidth="1"/>
    <col min="27" max="27" width="7" style="1" bestFit="1" customWidth="1"/>
    <col min="28" max="28" width="18.54296875" style="1" bestFit="1" customWidth="1"/>
    <col min="29" max="16384" width="3.453125" style="1"/>
  </cols>
  <sheetData>
    <row r="2" spans="2:29" ht="15" thickBot="1" x14ac:dyDescent="0.4"/>
    <row r="3" spans="2:29" ht="31" thickBot="1" x14ac:dyDescent="0.9">
      <c r="C3" s="2" t="s">
        <v>0</v>
      </c>
      <c r="D3" s="3"/>
      <c r="E3" s="3"/>
      <c r="F3" s="4"/>
      <c r="H3" s="5" t="s">
        <v>1</v>
      </c>
      <c r="I3" s="6"/>
      <c r="J3" s="7"/>
      <c r="K3" s="7" t="s">
        <v>2</v>
      </c>
      <c r="L3" s="7" t="s">
        <v>3</v>
      </c>
      <c r="M3" s="7" t="s">
        <v>4</v>
      </c>
      <c r="N3" s="7" t="s">
        <v>5</v>
      </c>
      <c r="O3" s="7" t="s">
        <v>6</v>
      </c>
      <c r="P3" s="7" t="s">
        <v>7</v>
      </c>
      <c r="Q3" s="7" t="s">
        <v>8</v>
      </c>
      <c r="R3" s="7" t="s">
        <v>9</v>
      </c>
      <c r="S3" s="7" t="s">
        <v>10</v>
      </c>
      <c r="T3" s="7" t="s">
        <v>11</v>
      </c>
      <c r="U3" s="7" t="s">
        <v>12</v>
      </c>
      <c r="V3" s="7" t="s">
        <v>13</v>
      </c>
      <c r="W3" s="7" t="s">
        <v>14</v>
      </c>
      <c r="X3" s="7" t="s">
        <v>15</v>
      </c>
      <c r="Y3" s="7" t="s">
        <v>16</v>
      </c>
      <c r="Z3" s="7" t="s">
        <v>17</v>
      </c>
      <c r="AA3" s="7" t="s">
        <v>18</v>
      </c>
      <c r="AB3" s="8" t="s">
        <v>19</v>
      </c>
      <c r="AC3" s="9"/>
    </row>
    <row r="4" spans="2:29" ht="15.5" thickTop="1" thickBot="1" x14ac:dyDescent="0.4">
      <c r="H4" s="5"/>
      <c r="I4" s="10"/>
      <c r="AB4" s="11"/>
    </row>
    <row r="5" spans="2:29" ht="44.5" thickBot="1" x14ac:dyDescent="0.7">
      <c r="B5" s="12" t="s">
        <v>20</v>
      </c>
      <c r="C5" s="13" t="s">
        <v>21</v>
      </c>
      <c r="D5" s="14" t="s">
        <v>22</v>
      </c>
      <c r="E5" s="15" t="s">
        <v>23</v>
      </c>
      <c r="F5" s="15" t="s">
        <v>24</v>
      </c>
      <c r="G5" s="16" t="s">
        <v>25</v>
      </c>
      <c r="H5" s="17" t="s">
        <v>26</v>
      </c>
      <c r="I5" s="10"/>
      <c r="AB5" s="11"/>
    </row>
    <row r="6" spans="2:29" ht="15" thickTop="1" x14ac:dyDescent="0.35">
      <c r="B6" s="18"/>
      <c r="G6" s="19"/>
      <c r="H6" s="17"/>
      <c r="I6" s="10"/>
      <c r="AB6" s="11"/>
    </row>
    <row r="7" spans="2:29" ht="17" x14ac:dyDescent="0.5">
      <c r="B7" s="20" t="s">
        <v>27</v>
      </c>
      <c r="E7" s="21"/>
      <c r="G7" s="19"/>
      <c r="H7" s="17"/>
      <c r="I7" s="10"/>
      <c r="AB7" s="11"/>
    </row>
    <row r="8" spans="2:29" x14ac:dyDescent="0.35">
      <c r="B8" s="18"/>
      <c r="C8" s="22" t="str">
        <f>PROPER("GLOBAL PEACE INDEX")</f>
        <v>Global Peace Index</v>
      </c>
      <c r="D8" s="23" t="s">
        <v>28</v>
      </c>
      <c r="E8" s="21">
        <v>2021</v>
      </c>
      <c r="F8" s="24">
        <v>0.2</v>
      </c>
      <c r="G8" s="25">
        <v>0.2</v>
      </c>
      <c r="H8" s="26" t="str">
        <f>"1-5"</f>
        <v>1-5</v>
      </c>
      <c r="I8" s="27"/>
      <c r="J8" s="28"/>
      <c r="K8" s="28">
        <v>1</v>
      </c>
      <c r="L8" s="28">
        <v>1</v>
      </c>
      <c r="M8" s="28">
        <v>2</v>
      </c>
      <c r="N8" s="28">
        <v>2</v>
      </c>
      <c r="O8" s="28">
        <v>2</v>
      </c>
      <c r="P8" s="28">
        <v>2</v>
      </c>
      <c r="Q8" s="28">
        <v>3</v>
      </c>
      <c r="R8" s="28">
        <v>3</v>
      </c>
      <c r="S8" s="28">
        <v>3</v>
      </c>
      <c r="T8" s="28">
        <v>3</v>
      </c>
      <c r="U8" s="28">
        <v>5</v>
      </c>
      <c r="V8" s="28">
        <v>4</v>
      </c>
      <c r="W8" s="28">
        <v>3</v>
      </c>
      <c r="X8" s="28">
        <v>4</v>
      </c>
      <c r="Y8" s="28">
        <v>5</v>
      </c>
      <c r="Z8" s="28">
        <v>5</v>
      </c>
      <c r="AA8" s="28">
        <v>5</v>
      </c>
      <c r="AB8" s="29">
        <v>5</v>
      </c>
    </row>
    <row r="9" spans="2:29" x14ac:dyDescent="0.35">
      <c r="B9" s="18"/>
      <c r="E9" s="21"/>
      <c r="G9" s="30"/>
      <c r="H9" s="17"/>
      <c r="I9" s="31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3"/>
    </row>
    <row r="10" spans="2:29" x14ac:dyDescent="0.35">
      <c r="B10" s="18"/>
      <c r="E10" s="21"/>
      <c r="G10" s="30"/>
      <c r="H10" s="17"/>
      <c r="I10" s="31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3"/>
    </row>
    <row r="11" spans="2:29" ht="17" x14ac:dyDescent="0.5">
      <c r="B11" s="20" t="s">
        <v>29</v>
      </c>
      <c r="E11" s="21"/>
      <c r="F11" s="24">
        <v>0.18</v>
      </c>
      <c r="G11" s="30"/>
      <c r="H11" s="17"/>
      <c r="I11" s="31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3"/>
    </row>
    <row r="12" spans="2:29" x14ac:dyDescent="0.35">
      <c r="B12" s="18"/>
      <c r="C12" s="34" t="str">
        <f>PROPER("trade restrictiveness index")</f>
        <v>Trade Restrictiveness Index</v>
      </c>
      <c r="D12" s="23" t="s">
        <v>28</v>
      </c>
      <c r="E12" s="21">
        <v>2021</v>
      </c>
      <c r="G12" s="25">
        <v>0.06</v>
      </c>
      <c r="H12" s="17" t="str">
        <f>"0.1-0.9"</f>
        <v>0.1-0.9</v>
      </c>
      <c r="I12" s="27"/>
      <c r="J12" s="28"/>
      <c r="K12" s="28">
        <v>1</v>
      </c>
      <c r="L12" s="28">
        <v>1</v>
      </c>
      <c r="M12" s="28">
        <v>2</v>
      </c>
      <c r="N12" s="28">
        <v>2</v>
      </c>
      <c r="O12" s="28">
        <v>1</v>
      </c>
      <c r="P12" s="28">
        <v>3</v>
      </c>
      <c r="Q12" s="28">
        <v>3</v>
      </c>
      <c r="R12" s="28">
        <v>4</v>
      </c>
      <c r="S12" s="28">
        <v>3</v>
      </c>
      <c r="T12" s="28">
        <v>2</v>
      </c>
      <c r="U12" s="28">
        <v>3</v>
      </c>
      <c r="V12" s="28">
        <v>4</v>
      </c>
      <c r="W12" s="28">
        <v>5</v>
      </c>
      <c r="X12" s="28">
        <v>4</v>
      </c>
      <c r="Y12" s="28">
        <v>5</v>
      </c>
      <c r="Z12" s="28">
        <v>5</v>
      </c>
      <c r="AA12" s="28">
        <v>5</v>
      </c>
      <c r="AB12" s="29">
        <v>5</v>
      </c>
    </row>
    <row r="13" spans="2:29" x14ac:dyDescent="0.35">
      <c r="B13" s="35"/>
      <c r="C13" s="22" t="str">
        <f>PROPER("corruption perception index")</f>
        <v>Corruption Perception Index</v>
      </c>
      <c r="D13" s="36" t="s">
        <v>28</v>
      </c>
      <c r="E13" s="21">
        <v>2021</v>
      </c>
      <c r="G13" s="25">
        <v>0.12</v>
      </c>
      <c r="H13" s="17" t="s">
        <v>30</v>
      </c>
      <c r="I13" s="27"/>
      <c r="J13" s="28"/>
      <c r="K13" s="28">
        <v>1</v>
      </c>
      <c r="L13" s="28">
        <v>2</v>
      </c>
      <c r="M13" s="28">
        <v>1</v>
      </c>
      <c r="N13" s="28">
        <v>1</v>
      </c>
      <c r="O13" s="28">
        <v>2</v>
      </c>
      <c r="P13" s="28">
        <v>3</v>
      </c>
      <c r="Q13" s="28">
        <v>4</v>
      </c>
      <c r="R13" s="28">
        <v>4</v>
      </c>
      <c r="S13" s="28">
        <v>4</v>
      </c>
      <c r="T13" s="28">
        <v>2</v>
      </c>
      <c r="U13" s="28">
        <v>4</v>
      </c>
      <c r="V13" s="28">
        <v>4</v>
      </c>
      <c r="W13" s="28">
        <v>4</v>
      </c>
      <c r="X13" s="28">
        <v>5</v>
      </c>
      <c r="Y13" s="28">
        <v>5</v>
      </c>
      <c r="Z13" s="28">
        <v>5</v>
      </c>
      <c r="AA13" s="28">
        <v>5</v>
      </c>
      <c r="AB13" s="29">
        <v>5</v>
      </c>
    </row>
    <row r="14" spans="2:29" x14ac:dyDescent="0.35">
      <c r="B14" s="35"/>
      <c r="C14" s="37"/>
      <c r="E14" s="21"/>
      <c r="G14" s="30"/>
      <c r="H14" s="17"/>
      <c r="I14" s="31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3"/>
    </row>
    <row r="15" spans="2:29" x14ac:dyDescent="0.35">
      <c r="B15" s="35"/>
      <c r="C15" s="37"/>
      <c r="E15" s="21"/>
      <c r="G15" s="30"/>
      <c r="H15" s="17"/>
      <c r="I15" s="31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3"/>
    </row>
    <row r="16" spans="2:29" ht="34" x14ac:dyDescent="0.5">
      <c r="B16" s="38" t="s">
        <v>31</v>
      </c>
      <c r="C16" s="37"/>
      <c r="E16" s="21"/>
      <c r="F16" s="24">
        <v>0.1</v>
      </c>
      <c r="G16" s="30"/>
      <c r="H16" s="17"/>
      <c r="I16" s="31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3"/>
    </row>
    <row r="17" spans="2:28" x14ac:dyDescent="0.35">
      <c r="B17" s="35"/>
      <c r="C17" s="22" t="str">
        <f>PROPER("BUSINESS ETHICS NATIONAL INDEX")</f>
        <v>Business Ethics National Index</v>
      </c>
      <c r="D17" s="23" t="s">
        <v>28</v>
      </c>
      <c r="E17" s="21">
        <v>2020</v>
      </c>
      <c r="G17" s="25">
        <v>0.04</v>
      </c>
      <c r="H17" s="17"/>
      <c r="I17" s="27"/>
      <c r="J17" s="28"/>
      <c r="K17" s="28">
        <v>1</v>
      </c>
      <c r="L17" s="28">
        <v>2</v>
      </c>
      <c r="M17" s="28">
        <v>1</v>
      </c>
      <c r="N17" s="28">
        <v>3</v>
      </c>
      <c r="O17" s="28">
        <v>2</v>
      </c>
      <c r="P17" s="28">
        <v>3</v>
      </c>
      <c r="Q17" s="28">
        <v>4</v>
      </c>
      <c r="R17" s="28">
        <v>4</v>
      </c>
      <c r="S17" s="28">
        <v>5</v>
      </c>
      <c r="T17" s="28">
        <v>3</v>
      </c>
      <c r="U17" s="28">
        <v>3</v>
      </c>
      <c r="V17" s="28">
        <v>2</v>
      </c>
      <c r="W17" s="28">
        <v>4</v>
      </c>
      <c r="X17" s="28">
        <v>2</v>
      </c>
      <c r="Y17" s="28">
        <v>5</v>
      </c>
      <c r="Z17" s="28">
        <v>4</v>
      </c>
      <c r="AA17" s="28">
        <v>5</v>
      </c>
      <c r="AB17" s="29">
        <v>5</v>
      </c>
    </row>
    <row r="18" spans="2:28" x14ac:dyDescent="0.35">
      <c r="B18" s="35"/>
      <c r="C18" s="22" t="str">
        <f>PROPER("WORLD INDEX OF MORAL FREEDOM")</f>
        <v>World Index Of Moral Freedom</v>
      </c>
      <c r="D18" s="23" t="s">
        <v>28</v>
      </c>
      <c r="E18" s="21">
        <v>2020</v>
      </c>
      <c r="G18" s="25">
        <v>0.06</v>
      </c>
      <c r="H18" s="17" t="s">
        <v>32</v>
      </c>
      <c r="I18" s="27"/>
      <c r="J18" s="28"/>
      <c r="K18" s="28">
        <v>2</v>
      </c>
      <c r="L18" s="28">
        <v>3</v>
      </c>
      <c r="M18" s="28">
        <v>1</v>
      </c>
      <c r="N18" s="28">
        <v>2</v>
      </c>
      <c r="O18" s="28">
        <v>2</v>
      </c>
      <c r="P18" s="28">
        <v>3</v>
      </c>
      <c r="Q18" s="28">
        <v>5</v>
      </c>
      <c r="R18" s="28">
        <v>4</v>
      </c>
      <c r="S18" s="28">
        <v>5</v>
      </c>
      <c r="T18" s="28">
        <v>3</v>
      </c>
      <c r="U18" s="28">
        <v>3</v>
      </c>
      <c r="V18" s="28">
        <v>2</v>
      </c>
      <c r="W18" s="28">
        <v>5</v>
      </c>
      <c r="X18" s="28">
        <v>1</v>
      </c>
      <c r="Y18" s="28">
        <v>4</v>
      </c>
      <c r="Z18" s="28">
        <v>5</v>
      </c>
      <c r="AA18" s="28">
        <v>5</v>
      </c>
      <c r="AB18" s="29">
        <v>5</v>
      </c>
    </row>
    <row r="19" spans="2:28" x14ac:dyDescent="0.35">
      <c r="B19" s="35"/>
      <c r="C19" s="37"/>
      <c r="E19" s="21"/>
      <c r="G19" s="30"/>
      <c r="H19" s="17"/>
      <c r="I19" s="31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3"/>
    </row>
    <row r="20" spans="2:28" x14ac:dyDescent="0.35">
      <c r="B20" s="35"/>
      <c r="C20" s="37"/>
      <c r="E20" s="21"/>
      <c r="G20" s="30"/>
      <c r="H20" s="17"/>
      <c r="I20" s="31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3"/>
    </row>
    <row r="21" spans="2:28" ht="17" x14ac:dyDescent="0.5">
      <c r="B21" s="20" t="s">
        <v>33</v>
      </c>
      <c r="C21" s="37"/>
      <c r="E21" s="21"/>
      <c r="F21" s="24">
        <v>0.12</v>
      </c>
      <c r="G21" s="30"/>
      <c r="H21" s="17"/>
      <c r="I21" s="31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3"/>
    </row>
    <row r="22" spans="2:28" x14ac:dyDescent="0.35">
      <c r="B22" s="35"/>
      <c r="C22" s="39" t="s">
        <v>34</v>
      </c>
      <c r="D22" s="23" t="s">
        <v>28</v>
      </c>
      <c r="E22" s="21">
        <v>2020</v>
      </c>
      <c r="G22" s="25">
        <v>0.05</v>
      </c>
      <c r="H22" s="26" t="str">
        <f>"!-10"</f>
        <v>!-10</v>
      </c>
      <c r="I22" s="27"/>
      <c r="J22" s="28"/>
      <c r="K22" s="28">
        <v>1</v>
      </c>
      <c r="L22" s="28">
        <v>1</v>
      </c>
      <c r="M22" s="28">
        <v>1</v>
      </c>
      <c r="N22" s="28">
        <v>1</v>
      </c>
      <c r="O22" s="28">
        <v>2</v>
      </c>
      <c r="P22" s="28">
        <v>3</v>
      </c>
      <c r="Q22" s="28">
        <v>3</v>
      </c>
      <c r="R22" s="28">
        <v>5</v>
      </c>
      <c r="S22" s="28">
        <v>4</v>
      </c>
      <c r="T22" s="28">
        <v>2</v>
      </c>
      <c r="U22" s="28">
        <v>5</v>
      </c>
      <c r="V22" s="28">
        <v>3</v>
      </c>
      <c r="W22" s="28">
        <v>3</v>
      </c>
      <c r="X22" s="28">
        <v>4</v>
      </c>
      <c r="Y22" s="28">
        <v>4</v>
      </c>
      <c r="Z22" s="28">
        <v>5</v>
      </c>
      <c r="AA22" s="28">
        <v>5</v>
      </c>
      <c r="AB22" s="29">
        <v>5</v>
      </c>
    </row>
    <row r="23" spans="2:28" x14ac:dyDescent="0.35">
      <c r="B23" s="35"/>
      <c r="C23" s="22" t="s">
        <v>35</v>
      </c>
      <c r="D23" s="23" t="s">
        <v>28</v>
      </c>
      <c r="E23" s="21">
        <v>2021</v>
      </c>
      <c r="G23" s="25">
        <v>7.0000000000000007E-2</v>
      </c>
      <c r="H23" s="17" t="s">
        <v>36</v>
      </c>
      <c r="I23" s="27"/>
      <c r="J23" s="28"/>
      <c r="K23" s="28">
        <v>2</v>
      </c>
      <c r="L23" s="28">
        <v>1</v>
      </c>
      <c r="M23" s="28">
        <v>1</v>
      </c>
      <c r="N23" s="28">
        <v>1</v>
      </c>
      <c r="O23" s="28">
        <v>2</v>
      </c>
      <c r="P23" s="28">
        <v>2</v>
      </c>
      <c r="Q23" s="28">
        <v>4</v>
      </c>
      <c r="R23" s="28">
        <v>5</v>
      </c>
      <c r="S23" s="28">
        <v>5</v>
      </c>
      <c r="T23" s="28">
        <v>1</v>
      </c>
      <c r="U23" s="28">
        <v>3</v>
      </c>
      <c r="V23" s="28">
        <v>4</v>
      </c>
      <c r="W23" s="28">
        <v>3</v>
      </c>
      <c r="X23" s="28">
        <v>4</v>
      </c>
      <c r="Y23" s="28">
        <v>3</v>
      </c>
      <c r="Z23" s="28">
        <v>5</v>
      </c>
      <c r="AA23" s="28">
        <v>4</v>
      </c>
      <c r="AB23" s="29"/>
    </row>
    <row r="24" spans="2:28" x14ac:dyDescent="0.35">
      <c r="B24" s="35"/>
      <c r="C24" s="37"/>
      <c r="E24" s="21"/>
      <c r="G24" s="30"/>
      <c r="H24" s="17"/>
      <c r="I24" s="31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3"/>
    </row>
    <row r="25" spans="2:28" ht="17" x14ac:dyDescent="0.5">
      <c r="B25" s="20" t="s">
        <v>37</v>
      </c>
      <c r="C25" s="37"/>
      <c r="E25" s="21"/>
      <c r="F25" s="24">
        <v>0.15</v>
      </c>
      <c r="G25" s="30"/>
      <c r="H25" s="17"/>
      <c r="I25" s="31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3"/>
    </row>
    <row r="26" spans="2:28" x14ac:dyDescent="0.35">
      <c r="B26" s="35"/>
      <c r="C26" s="22" t="str">
        <f>PROPER("human development index")</f>
        <v>Human Development Index</v>
      </c>
      <c r="D26" s="23" t="s">
        <v>28</v>
      </c>
      <c r="E26" s="21">
        <v>2021</v>
      </c>
      <c r="G26" s="25">
        <v>0.1</v>
      </c>
      <c r="H26" s="17" t="s">
        <v>38</v>
      </c>
      <c r="I26" s="27"/>
      <c r="J26" s="28"/>
      <c r="K26" s="28">
        <v>1</v>
      </c>
      <c r="L26" s="28">
        <v>1</v>
      </c>
      <c r="M26" s="28">
        <v>1</v>
      </c>
      <c r="N26" s="28">
        <v>1</v>
      </c>
      <c r="O26" s="28">
        <v>2</v>
      </c>
      <c r="P26" s="28">
        <v>1</v>
      </c>
      <c r="Q26" s="28">
        <v>3</v>
      </c>
      <c r="R26" s="28">
        <v>4</v>
      </c>
      <c r="S26" s="28">
        <v>3</v>
      </c>
      <c r="T26" s="28">
        <v>1</v>
      </c>
      <c r="U26" s="28">
        <v>4</v>
      </c>
      <c r="V26" s="28">
        <v>3</v>
      </c>
      <c r="W26" s="28">
        <v>3</v>
      </c>
      <c r="X26" s="28">
        <v>4</v>
      </c>
      <c r="Y26" s="28">
        <v>1</v>
      </c>
      <c r="Z26" s="28">
        <v>5</v>
      </c>
      <c r="AA26" s="28">
        <v>4</v>
      </c>
      <c r="AB26" s="29">
        <v>5</v>
      </c>
    </row>
    <row r="27" spans="2:28" x14ac:dyDescent="0.35">
      <c r="B27" s="35"/>
      <c r="C27" s="22" t="str">
        <f>PROPER("quality of life index")</f>
        <v>Quality Of Life Index</v>
      </c>
      <c r="D27" s="23" t="s">
        <v>28</v>
      </c>
      <c r="E27" s="21">
        <v>2021</v>
      </c>
      <c r="G27" s="25">
        <v>0.05</v>
      </c>
      <c r="H27" s="17" t="s">
        <v>39</v>
      </c>
      <c r="I27" s="27"/>
      <c r="J27" s="28"/>
      <c r="K27" s="28">
        <v>2</v>
      </c>
      <c r="L27" s="28">
        <v>2</v>
      </c>
      <c r="M27" s="28">
        <v>1</v>
      </c>
      <c r="N27" s="28">
        <v>3</v>
      </c>
      <c r="O27" s="28">
        <v>3</v>
      </c>
      <c r="P27" s="28">
        <v>3</v>
      </c>
      <c r="Q27" s="28">
        <v>4</v>
      </c>
      <c r="R27" s="28">
        <v>3</v>
      </c>
      <c r="S27" s="28">
        <v>5</v>
      </c>
      <c r="T27" s="28">
        <v>3</v>
      </c>
      <c r="U27" s="28">
        <v>4</v>
      </c>
      <c r="V27" s="28">
        <v>4</v>
      </c>
      <c r="W27" s="28">
        <v>4</v>
      </c>
      <c r="X27" s="28">
        <v>4</v>
      </c>
      <c r="Y27" s="28">
        <v>5</v>
      </c>
      <c r="Z27" s="28">
        <v>4</v>
      </c>
      <c r="AA27" s="28">
        <v>5</v>
      </c>
      <c r="AB27" s="29"/>
    </row>
    <row r="28" spans="2:28" x14ac:dyDescent="0.35">
      <c r="B28" s="35"/>
      <c r="C28" s="37"/>
      <c r="E28" s="21"/>
      <c r="G28" s="30"/>
      <c r="H28" s="17"/>
      <c r="I28" s="31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3"/>
    </row>
    <row r="29" spans="2:28" x14ac:dyDescent="0.35">
      <c r="B29" s="18"/>
      <c r="E29" s="21"/>
      <c r="G29" s="30"/>
      <c r="H29" s="17"/>
      <c r="I29" s="31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3"/>
    </row>
    <row r="30" spans="2:28" ht="17" x14ac:dyDescent="0.5">
      <c r="B30" s="20" t="s">
        <v>40</v>
      </c>
      <c r="E30" s="21"/>
      <c r="F30" s="24">
        <v>0.1</v>
      </c>
      <c r="G30" s="30"/>
      <c r="H30" s="17"/>
      <c r="I30" s="31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3"/>
    </row>
    <row r="31" spans="2:28" x14ac:dyDescent="0.35">
      <c r="B31" s="18"/>
      <c r="C31" s="32" t="str">
        <f>PROPER("ENVIRONMENTAL PERFORMANCE INDEX")</f>
        <v>Environmental Performance Index</v>
      </c>
      <c r="D31" s="23" t="s">
        <v>28</v>
      </c>
      <c r="E31" s="21">
        <v>2020</v>
      </c>
      <c r="G31" s="25">
        <v>0.06</v>
      </c>
      <c r="H31" s="17" t="s">
        <v>41</v>
      </c>
      <c r="I31" s="27"/>
      <c r="J31" s="28"/>
      <c r="K31" s="28">
        <v>2</v>
      </c>
      <c r="L31" s="28">
        <v>2</v>
      </c>
      <c r="M31" s="28">
        <v>2</v>
      </c>
      <c r="N31" s="28">
        <v>1</v>
      </c>
      <c r="O31" s="28">
        <v>1</v>
      </c>
      <c r="P31" s="28">
        <v>3</v>
      </c>
      <c r="Q31" s="28">
        <v>4</v>
      </c>
      <c r="R31" s="28">
        <v>5</v>
      </c>
      <c r="S31" s="28">
        <v>5</v>
      </c>
      <c r="T31" s="28">
        <v>3</v>
      </c>
      <c r="U31" s="28">
        <v>5</v>
      </c>
      <c r="V31" s="28">
        <v>4</v>
      </c>
      <c r="W31" s="28">
        <v>4</v>
      </c>
      <c r="X31" s="28">
        <v>4</v>
      </c>
      <c r="Y31" s="28">
        <v>4</v>
      </c>
      <c r="Z31" s="28">
        <v>5</v>
      </c>
      <c r="AA31" s="28">
        <v>5</v>
      </c>
      <c r="AB31" s="29">
        <v>5</v>
      </c>
    </row>
    <row r="32" spans="2:28" x14ac:dyDescent="0.35">
      <c r="B32" s="18"/>
      <c r="C32" s="40" t="str">
        <f>PROPER("Climate Change Performance Index")</f>
        <v>Climate Change Performance Index</v>
      </c>
      <c r="D32" s="23" t="s">
        <v>28</v>
      </c>
      <c r="E32" s="21">
        <v>2020</v>
      </c>
      <c r="G32" s="25">
        <v>0.04</v>
      </c>
      <c r="H32" s="17"/>
      <c r="I32" s="27"/>
      <c r="J32" s="28"/>
      <c r="K32" s="28">
        <v>2</v>
      </c>
      <c r="L32" s="28">
        <v>1</v>
      </c>
      <c r="M32" s="28">
        <v>2</v>
      </c>
      <c r="N32" s="28">
        <v>2</v>
      </c>
      <c r="O32" s="28">
        <v>1</v>
      </c>
      <c r="P32" s="28">
        <v>3</v>
      </c>
      <c r="Q32" s="28">
        <v>3</v>
      </c>
      <c r="R32" s="28">
        <v>4</v>
      </c>
      <c r="S32" s="28">
        <v>4</v>
      </c>
      <c r="T32" s="28">
        <v>2</v>
      </c>
      <c r="U32" s="28">
        <v>5</v>
      </c>
      <c r="V32" s="28">
        <v>3</v>
      </c>
      <c r="W32" s="28">
        <v>5</v>
      </c>
      <c r="X32" s="28">
        <v>4</v>
      </c>
      <c r="Y32" s="28">
        <v>4</v>
      </c>
      <c r="Z32" s="28">
        <v>5</v>
      </c>
      <c r="AA32" s="28">
        <v>5</v>
      </c>
      <c r="AB32" s="29">
        <v>5</v>
      </c>
    </row>
    <row r="33" spans="2:28" x14ac:dyDescent="0.35">
      <c r="B33" s="18"/>
      <c r="E33" s="21"/>
      <c r="G33" s="30"/>
      <c r="H33" s="17"/>
      <c r="I33" s="31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3"/>
    </row>
    <row r="34" spans="2:28" x14ac:dyDescent="0.35">
      <c r="B34" s="18"/>
      <c r="E34" s="21"/>
      <c r="G34" s="30"/>
      <c r="H34" s="17"/>
      <c r="I34" s="31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3"/>
    </row>
    <row r="35" spans="2:28" x14ac:dyDescent="0.35">
      <c r="B35" s="41" t="s">
        <v>42</v>
      </c>
      <c r="E35" s="21"/>
      <c r="F35" s="24">
        <v>0.15</v>
      </c>
      <c r="G35" s="30"/>
      <c r="H35" s="17"/>
      <c r="I35" s="31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3"/>
    </row>
    <row r="36" spans="2:28" x14ac:dyDescent="0.35">
      <c r="B36" s="18"/>
      <c r="C36" s="22" t="s">
        <v>43</v>
      </c>
      <c r="D36" s="23" t="s">
        <v>28</v>
      </c>
      <c r="E36" s="21">
        <v>2021</v>
      </c>
      <c r="G36" s="25">
        <v>0.1</v>
      </c>
      <c r="H36" s="17" t="s">
        <v>44</v>
      </c>
      <c r="I36" s="27"/>
      <c r="J36" s="28"/>
      <c r="K36" s="28">
        <v>2</v>
      </c>
      <c r="L36" s="28">
        <v>2</v>
      </c>
      <c r="M36" s="28">
        <v>3</v>
      </c>
      <c r="N36" s="28">
        <v>1</v>
      </c>
      <c r="O36" s="28">
        <v>3</v>
      </c>
      <c r="P36" s="28">
        <v>1</v>
      </c>
      <c r="Q36" s="28">
        <v>4</v>
      </c>
      <c r="R36" s="28">
        <v>4</v>
      </c>
      <c r="S36" s="28">
        <v>4</v>
      </c>
      <c r="T36" s="28">
        <v>1</v>
      </c>
      <c r="U36" s="28">
        <v>4</v>
      </c>
      <c r="V36" s="28">
        <v>5</v>
      </c>
      <c r="W36" s="28">
        <v>2</v>
      </c>
      <c r="X36" s="28">
        <v>4</v>
      </c>
      <c r="Y36" s="28">
        <v>2</v>
      </c>
      <c r="Z36" s="28">
        <v>5</v>
      </c>
      <c r="AA36" s="28">
        <v>5</v>
      </c>
      <c r="AB36" s="29">
        <v>4</v>
      </c>
    </row>
    <row r="37" spans="2:28" x14ac:dyDescent="0.35">
      <c r="B37" s="18"/>
      <c r="C37" s="22" t="s">
        <v>45</v>
      </c>
      <c r="D37" s="23" t="s">
        <v>28</v>
      </c>
      <c r="E37" s="21">
        <v>2020</v>
      </c>
      <c r="G37" s="25">
        <v>0.05</v>
      </c>
      <c r="H37" s="17" t="s">
        <v>46</v>
      </c>
      <c r="I37" s="27"/>
      <c r="J37" s="28"/>
      <c r="K37" s="28">
        <v>1</v>
      </c>
      <c r="L37" s="28">
        <v>2</v>
      </c>
      <c r="M37" s="28">
        <v>1</v>
      </c>
      <c r="N37" s="28">
        <v>1</v>
      </c>
      <c r="O37" s="28">
        <v>2</v>
      </c>
      <c r="P37" s="28">
        <v>2</v>
      </c>
      <c r="Q37" s="28">
        <v>3</v>
      </c>
      <c r="R37" s="28">
        <v>4</v>
      </c>
      <c r="S37" s="28">
        <v>4</v>
      </c>
      <c r="T37" s="28">
        <v>2</v>
      </c>
      <c r="U37" s="28">
        <v>4</v>
      </c>
      <c r="V37" s="28">
        <v>4</v>
      </c>
      <c r="W37" s="28">
        <v>4</v>
      </c>
      <c r="X37" s="28">
        <v>5</v>
      </c>
      <c r="Y37" s="28">
        <v>5</v>
      </c>
      <c r="Z37" s="28">
        <v>5</v>
      </c>
      <c r="AA37" s="28">
        <v>5</v>
      </c>
      <c r="AB37" s="29">
        <v>5</v>
      </c>
    </row>
    <row r="38" spans="2:28" x14ac:dyDescent="0.35">
      <c r="B38" s="18"/>
      <c r="E38" s="21"/>
      <c r="G38" s="30"/>
      <c r="H38" s="17"/>
      <c r="I38" s="10"/>
      <c r="AB38" s="11"/>
    </row>
    <row r="39" spans="2:28" ht="15" thickBot="1" x14ac:dyDescent="0.4">
      <c r="B39" s="42"/>
      <c r="C39" s="43"/>
      <c r="D39" s="43"/>
      <c r="E39" s="43"/>
      <c r="F39" s="43"/>
      <c r="G39" s="44"/>
      <c r="H39" s="5"/>
      <c r="I39" s="45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7"/>
    </row>
    <row r="40" spans="2:28" x14ac:dyDescent="0.35"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</row>
    <row r="41" spans="2:28" x14ac:dyDescent="0.35">
      <c r="F41" s="24">
        <f>SUM(F8:F35)</f>
        <v>1</v>
      </c>
      <c r="G41" s="24">
        <f>SUM(G8:G37)</f>
        <v>1</v>
      </c>
      <c r="I41" s="48"/>
      <c r="J41" s="48"/>
      <c r="K41" s="48">
        <f t="shared" ref="K41:AB41" si="0">SUMPRODUCT($G$8:$G$37,K8:K37)</f>
        <v>1.3800000000000001</v>
      </c>
      <c r="L41" s="48">
        <f t="shared" si="0"/>
        <v>1.5400000000000003</v>
      </c>
      <c r="M41" s="48">
        <f t="shared" si="0"/>
        <v>1.56</v>
      </c>
      <c r="N41" s="48">
        <f t="shared" si="0"/>
        <v>1.5400000000000003</v>
      </c>
      <c r="O41" s="48">
        <f t="shared" si="0"/>
        <v>1.99</v>
      </c>
      <c r="P41" s="48">
        <f t="shared" si="0"/>
        <v>2.2800000000000002</v>
      </c>
      <c r="Q41" s="48">
        <f t="shared" si="0"/>
        <v>3.5600000000000005</v>
      </c>
      <c r="R41" s="48">
        <f t="shared" si="0"/>
        <v>3.9299999999999997</v>
      </c>
      <c r="S41" s="48">
        <f t="shared" si="0"/>
        <v>3.9200000000000004</v>
      </c>
      <c r="T41" s="48">
        <f t="shared" si="0"/>
        <v>2.14</v>
      </c>
      <c r="U41" s="48">
        <f t="shared" si="0"/>
        <v>4.12</v>
      </c>
      <c r="V41" s="48">
        <f t="shared" si="0"/>
        <v>3.7100000000000009</v>
      </c>
      <c r="W41" s="48">
        <f t="shared" si="0"/>
        <v>3.5400000000000009</v>
      </c>
      <c r="X41" s="48">
        <f t="shared" si="0"/>
        <v>3.9100000000000006</v>
      </c>
      <c r="Y41" s="48">
        <f t="shared" si="0"/>
        <v>3.95</v>
      </c>
      <c r="Z41" s="48">
        <f t="shared" si="0"/>
        <v>4.91</v>
      </c>
      <c r="AA41" s="48">
        <f t="shared" si="0"/>
        <v>4.8299999999999992</v>
      </c>
      <c r="AB41" s="48">
        <f t="shared" si="0"/>
        <v>4.3</v>
      </c>
    </row>
    <row r="42" spans="2:28" x14ac:dyDescent="0.35"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</row>
    <row r="43" spans="2:28" ht="15" thickBot="1" x14ac:dyDescent="0.4"/>
    <row r="44" spans="2:28" ht="16" thickTop="1" x14ac:dyDescent="0.45">
      <c r="D44" s="49" t="s">
        <v>47</v>
      </c>
      <c r="E44" s="50"/>
      <c r="F44" s="51"/>
    </row>
    <row r="45" spans="2:28" ht="22" x14ac:dyDescent="0.65">
      <c r="D45" s="52"/>
      <c r="E45" s="53"/>
      <c r="F45" s="54"/>
    </row>
    <row r="46" spans="2:28" ht="22" x14ac:dyDescent="0.65">
      <c r="D46" s="52"/>
      <c r="E46" s="53" t="s">
        <v>2</v>
      </c>
      <c r="F46" s="54"/>
    </row>
    <row r="47" spans="2:28" ht="17" x14ac:dyDescent="0.5">
      <c r="D47" s="55"/>
      <c r="E47" s="56" t="s">
        <v>4</v>
      </c>
      <c r="F47" s="57"/>
    </row>
    <row r="48" spans="2:28" ht="17" x14ac:dyDescent="0.5">
      <c r="D48" s="55"/>
      <c r="E48" s="56" t="s">
        <v>48</v>
      </c>
      <c r="F48" s="57"/>
    </row>
    <row r="49" spans="3:6" x14ac:dyDescent="0.35">
      <c r="D49" s="58"/>
      <c r="E49" s="5"/>
      <c r="F49" s="57"/>
    </row>
    <row r="50" spans="3:6" x14ac:dyDescent="0.35">
      <c r="D50" s="58"/>
      <c r="E50" s="5"/>
      <c r="F50" s="57"/>
    </row>
    <row r="51" spans="3:6" ht="15" thickBot="1" x14ac:dyDescent="0.4">
      <c r="C51" s="4"/>
      <c r="D51" s="59"/>
      <c r="E51" s="60"/>
      <c r="F51" s="61"/>
    </row>
    <row r="52" spans="3:6" ht="15" thickTop="1" x14ac:dyDescent="0.35"/>
    <row r="55" spans="3:6" ht="15" thickBot="1" x14ac:dyDescent="0.4"/>
    <row r="56" spans="3:6" ht="16" thickTop="1" x14ac:dyDescent="0.45">
      <c r="D56" s="62" t="s">
        <v>49</v>
      </c>
      <c r="E56" s="63"/>
      <c r="F56" s="64"/>
    </row>
    <row r="57" spans="3:6" ht="22" x14ac:dyDescent="0.65">
      <c r="D57" s="65"/>
      <c r="E57" s="66"/>
      <c r="F57" s="67"/>
    </row>
    <row r="58" spans="3:6" ht="22" x14ac:dyDescent="0.65">
      <c r="D58" s="65"/>
      <c r="E58" s="66" t="s">
        <v>19</v>
      </c>
      <c r="F58" s="67"/>
    </row>
    <row r="59" spans="3:6" ht="17" x14ac:dyDescent="0.5">
      <c r="D59" s="68"/>
      <c r="E59" s="69" t="s">
        <v>18</v>
      </c>
      <c r="F59" s="70"/>
    </row>
    <row r="60" spans="3:6" ht="17" x14ac:dyDescent="0.5">
      <c r="D60" s="68"/>
      <c r="E60" s="69" t="s">
        <v>17</v>
      </c>
      <c r="F60" s="70"/>
    </row>
    <row r="61" spans="3:6" x14ac:dyDescent="0.35">
      <c r="D61" s="68"/>
      <c r="E61" s="71"/>
      <c r="F61" s="70"/>
    </row>
    <row r="62" spans="3:6" x14ac:dyDescent="0.35">
      <c r="D62" s="68"/>
      <c r="E62" s="71"/>
      <c r="F62" s="70"/>
    </row>
    <row r="63" spans="3:6" ht="15" thickBot="1" x14ac:dyDescent="0.4">
      <c r="D63" s="72"/>
      <c r="E63" s="73"/>
      <c r="F63" s="74"/>
    </row>
    <row r="64" spans="3:6" ht="15" thickTop="1" x14ac:dyDescent="0.35"/>
  </sheetData>
  <hyperlinks>
    <hyperlink ref="D8" r:id="rId1" xr:uid="{DA5807A2-3EFE-498F-BE7F-DDCCDE03A477}"/>
    <hyperlink ref="D13" r:id="rId2" xr:uid="{6217D8C0-1A3E-4E57-B3CA-7DE664CCC07D}"/>
    <hyperlink ref="D37" r:id="rId3" xr:uid="{6A60295B-ABB9-4DA0-83D8-650DB46CEFC2}"/>
    <hyperlink ref="D36" r:id="rId4" xr:uid="{598AB8A7-FB01-4168-91F4-49585F6C44DC}"/>
    <hyperlink ref="D31" r:id="rId5" xr:uid="{B4D81201-F387-42D0-B245-2C62E74A27D1}"/>
    <hyperlink ref="D27" r:id="rId6" xr:uid="{AEFEBE57-EC5F-4051-987F-F01AB37E6FDC}"/>
    <hyperlink ref="D26" r:id="rId7" xr:uid="{ED0E30BF-64A3-42FA-AA82-A6D8EC834B26}"/>
    <hyperlink ref="D18" r:id="rId8" xr:uid="{85E12876-F9F7-41D5-BA67-0E39F7573B96}"/>
    <hyperlink ref="D12" r:id="rId9" xr:uid="{ABABB282-F510-40BE-BAFE-21B3E2065131}"/>
    <hyperlink ref="D22" r:id="rId10" xr:uid="{789310DE-94CC-44C2-8450-C668AD983303}"/>
    <hyperlink ref="D23" r:id="rId11" xr:uid="{025FC3F5-7FF7-4070-AEFE-EC308F138DF3}"/>
    <hyperlink ref="D17" r:id="rId12" xr:uid="{8EAC98EE-9EEC-4B92-A06D-9B491695A7E2}"/>
    <hyperlink ref="D32" r:id="rId13" xr:uid="{3894E2D1-A75B-4EBF-A3F3-0C2C6FDA6ED1}"/>
  </hyperlinks>
  <pageMargins left="0.7" right="0.7" top="0.75" bottom="0.75" header="0.3" footer="0.3"/>
  <pageSetup orientation="portrait" horizontalDpi="90" verticalDpi="90" r:id="rId14"/>
  <drawing r:id="rId1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5EA50-CC8C-404A-B71D-E163D1A2C393}">
  <sheetPr codeName="Sheet18"/>
  <dimension ref="A1:F107"/>
  <sheetViews>
    <sheetView topLeftCell="A72" workbookViewId="0">
      <selection activeCell="F78" sqref="F78:H85"/>
    </sheetView>
  </sheetViews>
  <sheetFormatPr defaultRowHeight="14.5" x14ac:dyDescent="0.35"/>
  <cols>
    <col min="1" max="1" width="36.7265625" style="1" customWidth="1"/>
    <col min="2" max="2" width="21.90625" style="1" customWidth="1"/>
    <col min="3" max="9" width="8.7265625" style="1"/>
    <col min="10" max="10" width="5.08984375" style="1" customWidth="1"/>
    <col min="11" max="11" width="20.90625" style="1" customWidth="1"/>
    <col min="12" max="16384" width="8.7265625" style="1"/>
  </cols>
  <sheetData>
    <row r="1" spans="1:6" x14ac:dyDescent="0.35">
      <c r="A1" s="32"/>
      <c r="B1" s="32"/>
      <c r="C1" s="32"/>
      <c r="D1" s="32"/>
    </row>
    <row r="2" spans="1:6" x14ac:dyDescent="0.35">
      <c r="A2" s="75" t="s">
        <v>27</v>
      </c>
      <c r="B2" s="32"/>
      <c r="C2" s="32"/>
      <c r="D2" s="32"/>
      <c r="E2" s="32"/>
    </row>
    <row r="3" spans="1:6" ht="15" thickBot="1" x14ac:dyDescent="0.4">
      <c r="A3" s="32"/>
      <c r="B3" s="32" t="s">
        <v>50</v>
      </c>
      <c r="C3" s="32"/>
      <c r="D3" s="32"/>
      <c r="E3" s="32"/>
    </row>
    <row r="4" spans="1:6" ht="15.5" thickTop="1" thickBot="1" x14ac:dyDescent="0.4">
      <c r="A4" s="32"/>
      <c r="B4" s="76" t="s">
        <v>51</v>
      </c>
      <c r="C4" s="76" t="s">
        <v>52</v>
      </c>
      <c r="D4" s="32"/>
      <c r="E4" s="32"/>
      <c r="F4" s="77"/>
    </row>
    <row r="5" spans="1:6" ht="15.5" thickTop="1" thickBot="1" x14ac:dyDescent="0.4">
      <c r="A5" s="32"/>
      <c r="B5" s="76">
        <v>5</v>
      </c>
      <c r="C5" s="76" t="s">
        <v>53</v>
      </c>
      <c r="D5" s="32"/>
      <c r="E5" s="32"/>
    </row>
    <row r="6" spans="1:6" ht="15.5" thickTop="1" thickBot="1" x14ac:dyDescent="0.4">
      <c r="A6" s="32"/>
      <c r="B6" s="76">
        <v>4</v>
      </c>
      <c r="C6" s="76" t="s">
        <v>54</v>
      </c>
      <c r="D6" s="32"/>
      <c r="E6" s="32"/>
    </row>
    <row r="7" spans="1:6" ht="15.5" thickTop="1" thickBot="1" x14ac:dyDescent="0.4">
      <c r="A7" s="32"/>
      <c r="B7" s="76">
        <v>3</v>
      </c>
      <c r="C7" s="76" t="s">
        <v>55</v>
      </c>
      <c r="D7" s="32"/>
      <c r="E7" s="32"/>
    </row>
    <row r="8" spans="1:6" ht="15.5" thickTop="1" thickBot="1" x14ac:dyDescent="0.4">
      <c r="A8" s="32"/>
      <c r="B8" s="76">
        <v>2</v>
      </c>
      <c r="C8" s="76" t="s">
        <v>56</v>
      </c>
      <c r="D8" s="32"/>
      <c r="E8" s="32"/>
    </row>
    <row r="9" spans="1:6" ht="15.5" thickTop="1" thickBot="1" x14ac:dyDescent="0.4">
      <c r="A9" s="32"/>
      <c r="B9" s="76">
        <v>1</v>
      </c>
      <c r="C9" s="76" t="s">
        <v>57</v>
      </c>
      <c r="D9" s="32"/>
      <c r="E9" s="32"/>
    </row>
    <row r="10" spans="1:6" ht="15.5" thickTop="1" thickBot="1" x14ac:dyDescent="0.4">
      <c r="A10" s="32"/>
      <c r="B10" s="76"/>
      <c r="C10" s="76"/>
      <c r="D10" s="32"/>
      <c r="E10" s="32"/>
    </row>
    <row r="11" spans="1:6" ht="15" thickTop="1" x14ac:dyDescent="0.35">
      <c r="A11" s="75" t="s">
        <v>29</v>
      </c>
      <c r="B11" s="32"/>
      <c r="C11" s="32"/>
      <c r="D11" s="32"/>
      <c r="E11" s="32"/>
    </row>
    <row r="12" spans="1:6" x14ac:dyDescent="0.35">
      <c r="A12" s="32"/>
      <c r="B12" s="32"/>
      <c r="C12" s="32"/>
      <c r="D12" s="32"/>
      <c r="E12" s="32"/>
    </row>
    <row r="13" spans="1:6" ht="15" thickBot="1" x14ac:dyDescent="0.4">
      <c r="A13" s="32"/>
      <c r="B13" s="32" t="s">
        <v>58</v>
      </c>
      <c r="C13" s="32"/>
      <c r="D13" s="32"/>
      <c r="E13" s="32"/>
    </row>
    <row r="14" spans="1:6" ht="15.5" thickTop="1" thickBot="1" x14ac:dyDescent="0.4">
      <c r="A14" s="32"/>
      <c r="B14" s="76" t="s">
        <v>51</v>
      </c>
      <c r="C14" s="76" t="s">
        <v>52</v>
      </c>
      <c r="D14" s="32"/>
      <c r="E14" s="32"/>
    </row>
    <row r="15" spans="1:6" ht="15.5" thickTop="1" thickBot="1" x14ac:dyDescent="0.4">
      <c r="A15" s="32"/>
      <c r="B15" s="76">
        <v>5</v>
      </c>
      <c r="C15" s="76" t="s">
        <v>59</v>
      </c>
      <c r="D15" s="32"/>
      <c r="E15" s="32"/>
    </row>
    <row r="16" spans="1:6" ht="15.5" thickTop="1" thickBot="1" x14ac:dyDescent="0.4">
      <c r="A16" s="32"/>
      <c r="B16" s="76">
        <v>4</v>
      </c>
      <c r="C16" s="76" t="s">
        <v>60</v>
      </c>
      <c r="D16" s="32"/>
      <c r="E16" s="32"/>
    </row>
    <row r="17" spans="1:5" ht="15.5" thickTop="1" thickBot="1" x14ac:dyDescent="0.4">
      <c r="A17" s="32"/>
      <c r="B17" s="76">
        <v>3</v>
      </c>
      <c r="C17" s="76" t="s">
        <v>61</v>
      </c>
      <c r="D17" s="32"/>
      <c r="E17" s="32"/>
    </row>
    <row r="18" spans="1:5" ht="15.5" thickTop="1" thickBot="1" x14ac:dyDescent="0.4">
      <c r="A18" s="32"/>
      <c r="B18" s="76">
        <v>2</v>
      </c>
      <c r="C18" s="76" t="s">
        <v>62</v>
      </c>
      <c r="D18" s="32"/>
      <c r="E18" s="32"/>
    </row>
    <row r="19" spans="1:5" ht="15.5" thickTop="1" thickBot="1" x14ac:dyDescent="0.4">
      <c r="A19" s="32"/>
      <c r="B19" s="76">
        <v>1</v>
      </c>
      <c r="C19" s="78" t="s">
        <v>63</v>
      </c>
      <c r="D19" s="32"/>
      <c r="E19" s="32"/>
    </row>
    <row r="20" spans="1:5" ht="15" thickTop="1" x14ac:dyDescent="0.35">
      <c r="A20" s="32"/>
      <c r="B20" s="32"/>
      <c r="C20" s="32"/>
      <c r="D20" s="32"/>
      <c r="E20" s="32"/>
    </row>
    <row r="21" spans="1:5" x14ac:dyDescent="0.35">
      <c r="A21" s="79" t="s">
        <v>31</v>
      </c>
      <c r="B21" s="32"/>
      <c r="C21" s="32"/>
      <c r="D21" s="32"/>
      <c r="E21" s="32"/>
    </row>
    <row r="22" spans="1:5" x14ac:dyDescent="0.35">
      <c r="A22" s="32"/>
      <c r="B22" s="32"/>
      <c r="C22" s="32"/>
      <c r="D22" s="32"/>
      <c r="E22" s="32"/>
    </row>
    <row r="23" spans="1:5" ht="15" thickBot="1" x14ac:dyDescent="0.4">
      <c r="A23" s="75"/>
      <c r="B23" s="22" t="s">
        <v>64</v>
      </c>
      <c r="C23" s="32"/>
      <c r="D23" s="32"/>
      <c r="E23" s="32"/>
    </row>
    <row r="24" spans="1:5" ht="15.5" thickTop="1" thickBot="1" x14ac:dyDescent="0.4">
      <c r="A24" s="32"/>
      <c r="B24" s="76" t="s">
        <v>51</v>
      </c>
      <c r="C24" s="76" t="s">
        <v>52</v>
      </c>
      <c r="D24" s="32"/>
      <c r="E24" s="32"/>
    </row>
    <row r="25" spans="1:5" ht="15.5" thickTop="1" thickBot="1" x14ac:dyDescent="0.4">
      <c r="A25" s="32"/>
      <c r="B25" s="76">
        <v>5</v>
      </c>
      <c r="C25" s="78" t="str">
        <f>"1-40"</f>
        <v>1-40</v>
      </c>
      <c r="D25" s="32"/>
      <c r="E25" s="32"/>
    </row>
    <row r="26" spans="1:5" ht="15.5" thickTop="1" thickBot="1" x14ac:dyDescent="0.4">
      <c r="A26" s="32"/>
      <c r="B26" s="76">
        <v>4</v>
      </c>
      <c r="C26" s="76" t="s">
        <v>65</v>
      </c>
      <c r="D26" s="32"/>
      <c r="E26" s="32"/>
    </row>
    <row r="27" spans="1:5" ht="15.5" thickTop="1" thickBot="1" x14ac:dyDescent="0.4">
      <c r="A27" s="32"/>
      <c r="B27" s="76">
        <v>3</v>
      </c>
      <c r="C27" s="76" t="s">
        <v>66</v>
      </c>
      <c r="D27" s="32"/>
      <c r="E27" s="32"/>
    </row>
    <row r="28" spans="1:5" ht="15.5" thickTop="1" thickBot="1" x14ac:dyDescent="0.4">
      <c r="A28" s="32"/>
      <c r="B28" s="76">
        <v>2</v>
      </c>
      <c r="C28" s="76" t="str">
        <f>"66-80"</f>
        <v>66-80</v>
      </c>
      <c r="D28" s="32"/>
      <c r="E28" s="32"/>
    </row>
    <row r="29" spans="1:5" ht="15.5" thickTop="1" thickBot="1" x14ac:dyDescent="0.4">
      <c r="A29" s="32"/>
      <c r="B29" s="76">
        <v>1</v>
      </c>
      <c r="C29" s="76" t="str">
        <f>"81-100"</f>
        <v>81-100</v>
      </c>
      <c r="D29" s="32"/>
      <c r="E29" s="32"/>
    </row>
    <row r="30" spans="1:5" ht="15" thickTop="1" x14ac:dyDescent="0.35">
      <c r="A30" s="32"/>
      <c r="B30" s="32"/>
      <c r="C30" s="32"/>
      <c r="D30" s="32"/>
      <c r="E30" s="32"/>
    </row>
    <row r="31" spans="1:5" ht="17" x14ac:dyDescent="0.5">
      <c r="A31" s="80" t="s">
        <v>33</v>
      </c>
      <c r="B31" s="32"/>
      <c r="C31" s="32"/>
      <c r="D31" s="32"/>
      <c r="E31" s="32"/>
    </row>
    <row r="32" spans="1:5" ht="15" thickBot="1" x14ac:dyDescent="0.4">
      <c r="A32" s="32"/>
      <c r="B32" s="39" t="s">
        <v>34</v>
      </c>
      <c r="C32" s="32"/>
      <c r="D32" s="32"/>
      <c r="E32" s="32"/>
    </row>
    <row r="33" spans="1:5" ht="15.5" thickTop="1" thickBot="1" x14ac:dyDescent="0.4">
      <c r="A33" s="32"/>
      <c r="B33" s="76" t="s">
        <v>51</v>
      </c>
      <c r="C33" s="76" t="s">
        <v>52</v>
      </c>
      <c r="D33" s="32"/>
      <c r="E33" s="32"/>
    </row>
    <row r="34" spans="1:5" ht="15.5" thickTop="1" thickBot="1" x14ac:dyDescent="0.4">
      <c r="A34" s="32"/>
      <c r="B34" s="76">
        <v>5</v>
      </c>
      <c r="C34" s="76" t="str">
        <f>"1-3.5"</f>
        <v>1-3.5</v>
      </c>
      <c r="D34" s="32"/>
      <c r="E34" s="81"/>
    </row>
    <row r="35" spans="1:5" ht="15.5" thickTop="1" thickBot="1" x14ac:dyDescent="0.4">
      <c r="A35" s="32"/>
      <c r="B35" s="76">
        <v>4</v>
      </c>
      <c r="C35" s="76" t="str">
        <f>"3.6-5"</f>
        <v>3.6-5</v>
      </c>
      <c r="D35" s="32"/>
      <c r="E35" s="32"/>
    </row>
    <row r="36" spans="1:5" ht="15.5" thickTop="1" thickBot="1" x14ac:dyDescent="0.4">
      <c r="A36" s="32"/>
      <c r="B36" s="76">
        <v>3</v>
      </c>
      <c r="C36" s="76" t="str">
        <f>"5.1-7"</f>
        <v>5.1-7</v>
      </c>
      <c r="D36" s="32"/>
      <c r="E36" s="32"/>
    </row>
    <row r="37" spans="1:5" ht="15.5" thickTop="1" thickBot="1" x14ac:dyDescent="0.4">
      <c r="A37" s="32"/>
      <c r="B37" s="76">
        <v>2</v>
      </c>
      <c r="C37" s="76" t="str">
        <f>"7-8.8"</f>
        <v>7-8.8</v>
      </c>
      <c r="D37" s="32"/>
      <c r="E37" s="32"/>
    </row>
    <row r="38" spans="1:5" ht="15.5" thickTop="1" thickBot="1" x14ac:dyDescent="0.4">
      <c r="A38" s="32"/>
      <c r="B38" s="76">
        <v>1</v>
      </c>
      <c r="C38" s="76" t="str">
        <f>"8.9-10"</f>
        <v>8.9-10</v>
      </c>
      <c r="D38" s="32"/>
      <c r="E38" s="32"/>
    </row>
    <row r="39" spans="1:5" ht="15" thickTop="1" x14ac:dyDescent="0.35">
      <c r="A39" s="32"/>
      <c r="B39" s="32"/>
      <c r="C39" s="32"/>
      <c r="D39" s="32"/>
      <c r="E39" s="32"/>
    </row>
    <row r="40" spans="1:5" ht="15" thickBot="1" x14ac:dyDescent="0.4">
      <c r="A40" s="32"/>
      <c r="B40" s="22" t="s">
        <v>35</v>
      </c>
      <c r="C40" s="32"/>
      <c r="D40" s="32"/>
      <c r="E40" s="32"/>
    </row>
    <row r="41" spans="1:5" ht="15.5" thickTop="1" thickBot="1" x14ac:dyDescent="0.4">
      <c r="A41" s="32"/>
      <c r="B41" s="76" t="s">
        <v>51</v>
      </c>
      <c r="C41" s="76" t="s">
        <v>52</v>
      </c>
      <c r="D41" s="32"/>
      <c r="E41" s="32"/>
    </row>
    <row r="42" spans="1:5" ht="15.5" thickTop="1" thickBot="1" x14ac:dyDescent="0.4">
      <c r="A42" s="32"/>
      <c r="B42" s="76">
        <v>5</v>
      </c>
      <c r="C42" s="76" t="str">
        <f>"40-50"</f>
        <v>40-50</v>
      </c>
      <c r="D42" s="32"/>
      <c r="E42" s="32"/>
    </row>
    <row r="43" spans="1:5" ht="15.5" thickTop="1" thickBot="1" x14ac:dyDescent="0.4">
      <c r="A43" s="32"/>
      <c r="B43" s="76">
        <v>4</v>
      </c>
      <c r="C43" s="76" t="str">
        <f>"50-60"</f>
        <v>50-60</v>
      </c>
      <c r="D43" s="32"/>
      <c r="E43" s="32"/>
    </row>
    <row r="44" spans="1:5" ht="15.5" thickTop="1" thickBot="1" x14ac:dyDescent="0.4">
      <c r="A44" s="32"/>
      <c r="B44" s="76">
        <v>3</v>
      </c>
      <c r="C44" s="76" t="str">
        <f>"60-70"</f>
        <v>60-70</v>
      </c>
      <c r="D44" s="32"/>
      <c r="E44" s="32"/>
    </row>
    <row r="45" spans="1:5" ht="15.5" thickTop="1" thickBot="1" x14ac:dyDescent="0.4">
      <c r="A45" s="32"/>
      <c r="B45" s="76">
        <v>2</v>
      </c>
      <c r="C45" s="76" t="str">
        <f>"70-80"</f>
        <v>70-80</v>
      </c>
      <c r="D45" s="32"/>
      <c r="E45" s="32"/>
    </row>
    <row r="46" spans="1:5" ht="15.5" thickTop="1" thickBot="1" x14ac:dyDescent="0.4">
      <c r="A46" s="32"/>
      <c r="B46" s="76">
        <v>1</v>
      </c>
      <c r="C46" s="76" t="str">
        <f>"80-100"</f>
        <v>80-100</v>
      </c>
      <c r="D46" s="32"/>
      <c r="E46" s="32"/>
    </row>
    <row r="47" spans="1:5" ht="15" thickTop="1" x14ac:dyDescent="0.35">
      <c r="A47" s="32"/>
      <c r="B47" s="32"/>
      <c r="C47" s="32"/>
      <c r="D47" s="32"/>
      <c r="E47" s="32"/>
    </row>
    <row r="48" spans="1:5" ht="17" x14ac:dyDescent="0.5">
      <c r="A48" s="80" t="s">
        <v>67</v>
      </c>
      <c r="B48" s="32"/>
      <c r="C48" s="32"/>
      <c r="D48" s="32"/>
      <c r="E48" s="32"/>
    </row>
    <row r="49" spans="1:5" ht="15" thickBot="1" x14ac:dyDescent="0.4">
      <c r="A49" s="32"/>
      <c r="B49" s="22" t="s">
        <v>68</v>
      </c>
      <c r="C49" s="32"/>
      <c r="D49" s="32"/>
      <c r="E49" s="32"/>
    </row>
    <row r="50" spans="1:5" ht="15.5" thickTop="1" thickBot="1" x14ac:dyDescent="0.4">
      <c r="A50" s="32"/>
      <c r="B50" s="76" t="s">
        <v>51</v>
      </c>
      <c r="C50" s="76" t="s">
        <v>52</v>
      </c>
      <c r="D50" s="32"/>
      <c r="E50" s="32"/>
    </row>
    <row r="51" spans="1:5" ht="15.5" thickTop="1" thickBot="1" x14ac:dyDescent="0.4">
      <c r="A51" s="32"/>
      <c r="B51" s="76">
        <v>1</v>
      </c>
      <c r="C51" s="76" t="s">
        <v>69</v>
      </c>
      <c r="D51" s="32"/>
      <c r="E51" s="32"/>
    </row>
    <row r="52" spans="1:5" ht="15.5" thickTop="1" thickBot="1" x14ac:dyDescent="0.4">
      <c r="A52" s="32"/>
      <c r="B52" s="76">
        <v>2</v>
      </c>
      <c r="C52" s="76" t="s">
        <v>70</v>
      </c>
      <c r="D52" s="32"/>
      <c r="E52" s="32"/>
    </row>
    <row r="53" spans="1:5" ht="15.5" thickTop="1" thickBot="1" x14ac:dyDescent="0.4">
      <c r="A53" s="32"/>
      <c r="B53" s="76">
        <v>3</v>
      </c>
      <c r="C53" s="76" t="s">
        <v>71</v>
      </c>
      <c r="D53" s="32"/>
      <c r="E53" s="32"/>
    </row>
    <row r="54" spans="1:5" ht="15.5" thickTop="1" thickBot="1" x14ac:dyDescent="0.4">
      <c r="A54" s="32"/>
      <c r="B54" s="76">
        <v>4</v>
      </c>
      <c r="C54" s="76" t="s">
        <v>72</v>
      </c>
      <c r="D54" s="32"/>
      <c r="E54" s="32"/>
    </row>
    <row r="55" spans="1:5" ht="15.5" thickTop="1" thickBot="1" x14ac:dyDescent="0.4">
      <c r="A55" s="32"/>
      <c r="B55" s="76">
        <v>5</v>
      </c>
      <c r="C55" s="76" t="s">
        <v>73</v>
      </c>
      <c r="D55" s="32"/>
      <c r="E55" s="32"/>
    </row>
    <row r="56" spans="1:5" ht="15" thickTop="1" x14ac:dyDescent="0.35">
      <c r="A56" s="32"/>
      <c r="B56" s="32"/>
      <c r="C56" s="32"/>
      <c r="D56" s="32"/>
      <c r="E56" s="32"/>
    </row>
    <row r="57" spans="1:5" ht="15" thickBot="1" x14ac:dyDescent="0.4">
      <c r="A57" s="32"/>
      <c r="B57" s="22" t="s">
        <v>74</v>
      </c>
      <c r="C57" s="32"/>
      <c r="D57" s="32"/>
      <c r="E57" s="32"/>
    </row>
    <row r="58" spans="1:5" ht="15.5" thickTop="1" thickBot="1" x14ac:dyDescent="0.4">
      <c r="A58" s="32"/>
      <c r="B58" s="76" t="s">
        <v>51</v>
      </c>
      <c r="C58" s="76" t="s">
        <v>52</v>
      </c>
      <c r="D58" s="32"/>
      <c r="E58" s="32"/>
    </row>
    <row r="59" spans="1:5" ht="15.5" thickTop="1" thickBot="1" x14ac:dyDescent="0.4">
      <c r="A59" s="32"/>
      <c r="B59" s="76">
        <v>1</v>
      </c>
      <c r="C59" s="82" t="str">
        <f>"3.8-4.5"</f>
        <v>3.8-4.5</v>
      </c>
      <c r="D59" s="32"/>
      <c r="E59" s="32"/>
    </row>
    <row r="60" spans="1:5" ht="15.5" thickTop="1" thickBot="1" x14ac:dyDescent="0.4">
      <c r="A60" s="32"/>
      <c r="B60" s="76">
        <v>2</v>
      </c>
      <c r="C60" s="76" t="str">
        <f>"4.5-5.1"</f>
        <v>4.5-5.1</v>
      </c>
      <c r="D60" s="32"/>
      <c r="E60" s="32"/>
    </row>
    <row r="61" spans="1:5" ht="15.5" thickTop="1" thickBot="1" x14ac:dyDescent="0.4">
      <c r="A61" s="32"/>
      <c r="B61" s="76">
        <v>3</v>
      </c>
      <c r="C61" s="76" t="str">
        <f>"5.2-6"</f>
        <v>5.2-6</v>
      </c>
      <c r="D61" s="32"/>
      <c r="E61" s="32"/>
    </row>
    <row r="62" spans="1:5" ht="15.5" thickTop="1" thickBot="1" x14ac:dyDescent="0.4">
      <c r="A62" s="32"/>
      <c r="B62" s="76">
        <v>4</v>
      </c>
      <c r="C62" s="76" t="str">
        <f>"6-7"</f>
        <v>6-7</v>
      </c>
      <c r="D62" s="32"/>
      <c r="E62" s="32"/>
    </row>
    <row r="63" spans="1:5" ht="15.5" thickTop="1" thickBot="1" x14ac:dyDescent="0.4">
      <c r="A63" s="32"/>
      <c r="B63" s="76">
        <v>5</v>
      </c>
      <c r="C63" s="82" t="str">
        <f>"8-10"</f>
        <v>8-10</v>
      </c>
      <c r="D63" s="32"/>
      <c r="E63" s="32"/>
    </row>
    <row r="64" spans="1:5" ht="15.5" thickTop="1" thickBot="1" x14ac:dyDescent="0.4">
      <c r="A64" s="32"/>
      <c r="B64" s="76"/>
      <c r="C64" s="76"/>
      <c r="D64" s="32"/>
      <c r="E64" s="32"/>
    </row>
    <row r="65" spans="1:5" ht="17.5" thickTop="1" x14ac:dyDescent="0.5">
      <c r="A65" s="80" t="s">
        <v>40</v>
      </c>
      <c r="B65" s="32"/>
      <c r="C65" s="32"/>
      <c r="D65" s="32"/>
      <c r="E65" s="32"/>
    </row>
    <row r="66" spans="1:5" ht="15" thickBot="1" x14ac:dyDescent="0.4">
      <c r="A66" s="32"/>
      <c r="B66" s="32" t="s">
        <v>75</v>
      </c>
      <c r="C66" s="32"/>
      <c r="D66" s="32"/>
      <c r="E66" s="32"/>
    </row>
    <row r="67" spans="1:5" ht="15.5" thickTop="1" thickBot="1" x14ac:dyDescent="0.4">
      <c r="A67" s="32"/>
      <c r="B67" s="76" t="s">
        <v>51</v>
      </c>
      <c r="C67" s="76" t="s">
        <v>52</v>
      </c>
      <c r="D67" s="32"/>
      <c r="E67" s="32"/>
    </row>
    <row r="68" spans="1:5" ht="15.5" thickTop="1" thickBot="1" x14ac:dyDescent="0.4">
      <c r="A68" s="32"/>
      <c r="B68" s="76">
        <v>1</v>
      </c>
      <c r="C68" s="76" t="s">
        <v>76</v>
      </c>
      <c r="D68" s="32"/>
      <c r="E68" s="32"/>
    </row>
    <row r="69" spans="1:5" ht="15.5" thickTop="1" thickBot="1" x14ac:dyDescent="0.4">
      <c r="A69" s="32"/>
      <c r="B69" s="76">
        <v>2</v>
      </c>
      <c r="C69" s="76" t="s">
        <v>77</v>
      </c>
      <c r="D69" s="32"/>
      <c r="E69" s="32"/>
    </row>
    <row r="70" spans="1:5" ht="15.5" thickTop="1" thickBot="1" x14ac:dyDescent="0.4">
      <c r="A70" s="32"/>
      <c r="B70" s="76">
        <v>3</v>
      </c>
      <c r="C70" s="76" t="s">
        <v>78</v>
      </c>
      <c r="D70" s="32"/>
      <c r="E70" s="32"/>
    </row>
    <row r="71" spans="1:5" ht="15.5" thickTop="1" thickBot="1" x14ac:dyDescent="0.4">
      <c r="A71" s="32"/>
      <c r="B71" s="76">
        <v>4</v>
      </c>
      <c r="C71" s="76" t="s">
        <v>79</v>
      </c>
      <c r="D71" s="32"/>
      <c r="E71" s="32"/>
    </row>
    <row r="72" spans="1:5" ht="15.5" thickTop="1" thickBot="1" x14ac:dyDescent="0.4">
      <c r="A72" s="32"/>
      <c r="B72" s="83">
        <v>5</v>
      </c>
      <c r="C72" s="76" t="s">
        <v>80</v>
      </c>
      <c r="D72" s="32"/>
      <c r="E72" s="32"/>
    </row>
    <row r="73" spans="1:5" ht="15" thickTop="1" x14ac:dyDescent="0.35">
      <c r="A73" s="32"/>
      <c r="B73" s="32"/>
      <c r="C73" s="32"/>
      <c r="D73" s="32"/>
      <c r="E73" s="32"/>
    </row>
    <row r="74" spans="1:5" x14ac:dyDescent="0.35">
      <c r="A74" s="32"/>
      <c r="B74" s="32"/>
      <c r="C74" s="32"/>
      <c r="D74" s="32"/>
      <c r="E74" s="32"/>
    </row>
    <row r="75" spans="1:5" x14ac:dyDescent="0.35">
      <c r="A75" s="84" t="s">
        <v>42</v>
      </c>
      <c r="B75" s="32"/>
      <c r="C75" s="32"/>
      <c r="D75" s="32"/>
      <c r="E75" s="32"/>
    </row>
    <row r="76" spans="1:5" ht="15" thickBot="1" x14ac:dyDescent="0.4">
      <c r="A76" s="32"/>
      <c r="B76" s="22" t="s">
        <v>43</v>
      </c>
      <c r="C76" s="32"/>
      <c r="D76" s="32"/>
      <c r="E76" s="32"/>
    </row>
    <row r="77" spans="1:5" ht="15.5" thickTop="1" thickBot="1" x14ac:dyDescent="0.4">
      <c r="A77" s="32"/>
      <c r="B77" s="76" t="s">
        <v>51</v>
      </c>
      <c r="C77" s="76" t="s">
        <v>52</v>
      </c>
      <c r="D77" s="32"/>
      <c r="E77" s="32"/>
    </row>
    <row r="78" spans="1:5" ht="15.5" thickTop="1" thickBot="1" x14ac:dyDescent="0.4">
      <c r="A78" s="32"/>
      <c r="B78" s="76">
        <v>5</v>
      </c>
      <c r="C78" s="76" t="s">
        <v>81</v>
      </c>
      <c r="D78" s="32"/>
      <c r="E78" s="32"/>
    </row>
    <row r="79" spans="1:5" ht="15.5" thickTop="1" thickBot="1" x14ac:dyDescent="0.4">
      <c r="A79" s="32"/>
      <c r="B79" s="76">
        <v>4</v>
      </c>
      <c r="C79" s="76" t="s">
        <v>82</v>
      </c>
      <c r="D79" s="32"/>
      <c r="E79" s="32"/>
    </row>
    <row r="80" spans="1:5" ht="15.5" thickTop="1" thickBot="1" x14ac:dyDescent="0.4">
      <c r="A80" s="32"/>
      <c r="B80" s="76">
        <v>3</v>
      </c>
      <c r="C80" s="76" t="s">
        <v>83</v>
      </c>
      <c r="D80" s="32"/>
      <c r="E80" s="32"/>
    </row>
    <row r="81" spans="1:5" ht="15.5" thickTop="1" thickBot="1" x14ac:dyDescent="0.4">
      <c r="A81" s="32"/>
      <c r="B81" s="76">
        <v>2</v>
      </c>
      <c r="C81" s="76" t="s">
        <v>84</v>
      </c>
      <c r="D81" s="32"/>
      <c r="E81" s="32"/>
    </row>
    <row r="82" spans="1:5" ht="15.5" thickTop="1" thickBot="1" x14ac:dyDescent="0.4">
      <c r="A82" s="32"/>
      <c r="B82" s="76">
        <v>1</v>
      </c>
      <c r="C82" s="78" t="str">
        <f>"1-25"</f>
        <v>1-25</v>
      </c>
      <c r="D82" s="32"/>
      <c r="E82" s="32"/>
    </row>
    <row r="83" spans="1:5" ht="15" thickTop="1" x14ac:dyDescent="0.35">
      <c r="A83" s="32"/>
      <c r="B83" s="32"/>
      <c r="C83" s="32"/>
      <c r="D83" s="32"/>
      <c r="E83" s="32"/>
    </row>
    <row r="84" spans="1:5" ht="15" thickBot="1" x14ac:dyDescent="0.4">
      <c r="A84" s="32"/>
      <c r="B84" s="22" t="s">
        <v>45</v>
      </c>
      <c r="C84" s="32"/>
      <c r="D84" s="32"/>
      <c r="E84" s="32"/>
    </row>
    <row r="85" spans="1:5" ht="15.5" thickTop="1" thickBot="1" x14ac:dyDescent="0.4">
      <c r="A85" s="32"/>
      <c r="B85" s="76" t="s">
        <v>51</v>
      </c>
      <c r="C85" s="76" t="s">
        <v>52</v>
      </c>
      <c r="D85" s="32"/>
      <c r="E85" s="32"/>
    </row>
    <row r="86" spans="1:5" ht="15.5" thickTop="1" thickBot="1" x14ac:dyDescent="0.4">
      <c r="A86" s="32"/>
      <c r="B86" s="76">
        <v>5</v>
      </c>
      <c r="C86" s="76" t="s">
        <v>85</v>
      </c>
      <c r="D86" s="32"/>
      <c r="E86" s="32"/>
    </row>
    <row r="87" spans="1:5" ht="15.5" thickTop="1" thickBot="1" x14ac:dyDescent="0.4">
      <c r="A87" s="32"/>
      <c r="B87" s="76">
        <v>4</v>
      </c>
      <c r="C87" s="76" t="s">
        <v>86</v>
      </c>
      <c r="D87" s="32"/>
      <c r="E87" s="32"/>
    </row>
    <row r="88" spans="1:5" ht="15.5" thickTop="1" thickBot="1" x14ac:dyDescent="0.4">
      <c r="A88" s="32"/>
      <c r="B88" s="76">
        <v>3</v>
      </c>
      <c r="C88" s="76" t="s">
        <v>87</v>
      </c>
      <c r="D88" s="32"/>
      <c r="E88" s="32"/>
    </row>
    <row r="89" spans="1:5" ht="15.5" thickTop="1" thickBot="1" x14ac:dyDescent="0.4">
      <c r="A89" s="32"/>
      <c r="B89" s="76">
        <v>2</v>
      </c>
      <c r="C89" s="76" t="s">
        <v>88</v>
      </c>
      <c r="D89" s="32"/>
      <c r="E89" s="32"/>
    </row>
    <row r="90" spans="1:5" ht="15.5" thickTop="1" thickBot="1" x14ac:dyDescent="0.4">
      <c r="A90" s="32"/>
      <c r="B90" s="76">
        <v>1</v>
      </c>
      <c r="C90" s="76" t="s">
        <v>89</v>
      </c>
      <c r="D90" s="32"/>
      <c r="E90" s="32"/>
    </row>
    <row r="91" spans="1:5" ht="15" thickTop="1" x14ac:dyDescent="0.35">
      <c r="A91" s="32"/>
      <c r="B91" s="32"/>
      <c r="C91" s="32"/>
      <c r="D91" s="32"/>
      <c r="E91" s="32"/>
    </row>
    <row r="92" spans="1:5" x14ac:dyDescent="0.35">
      <c r="A92" s="32"/>
      <c r="B92" s="32"/>
      <c r="C92" s="32"/>
      <c r="D92" s="32"/>
      <c r="E92" s="32"/>
    </row>
    <row r="93" spans="1:5" x14ac:dyDescent="0.35">
      <c r="A93" s="32"/>
      <c r="B93" s="32"/>
      <c r="C93" s="32"/>
      <c r="D93" s="32"/>
      <c r="E93" s="32"/>
    </row>
    <row r="94" spans="1:5" x14ac:dyDescent="0.35">
      <c r="A94" s="32"/>
      <c r="B94" s="32"/>
      <c r="C94" s="32"/>
      <c r="D94" s="32"/>
      <c r="E94" s="32"/>
    </row>
    <row r="95" spans="1:5" x14ac:dyDescent="0.35">
      <c r="A95" s="32"/>
      <c r="B95" s="32"/>
      <c r="C95" s="32"/>
      <c r="D95" s="32"/>
      <c r="E95" s="32"/>
    </row>
    <row r="96" spans="1:5" x14ac:dyDescent="0.35">
      <c r="A96" s="32"/>
      <c r="B96" s="32"/>
      <c r="C96" s="32"/>
      <c r="D96" s="32"/>
      <c r="E96" s="32"/>
    </row>
    <row r="97" spans="1:5" x14ac:dyDescent="0.35">
      <c r="A97" s="32"/>
      <c r="B97" s="32"/>
      <c r="C97" s="32"/>
      <c r="D97" s="32"/>
      <c r="E97" s="32"/>
    </row>
    <row r="98" spans="1:5" x14ac:dyDescent="0.35">
      <c r="A98" s="32"/>
      <c r="B98" s="32"/>
      <c r="C98" s="32"/>
      <c r="D98" s="32"/>
      <c r="E98" s="32"/>
    </row>
    <row r="99" spans="1:5" x14ac:dyDescent="0.35">
      <c r="A99" s="32"/>
      <c r="B99" s="32"/>
      <c r="C99" s="32"/>
      <c r="D99" s="32"/>
      <c r="E99" s="32"/>
    </row>
    <row r="100" spans="1:5" x14ac:dyDescent="0.35">
      <c r="A100" s="32"/>
      <c r="B100" s="32"/>
      <c r="C100" s="32"/>
      <c r="D100" s="32"/>
      <c r="E100" s="32"/>
    </row>
    <row r="101" spans="1:5" x14ac:dyDescent="0.35">
      <c r="A101" s="32"/>
      <c r="B101" s="32"/>
      <c r="C101" s="32"/>
      <c r="D101" s="32"/>
      <c r="E101" s="32"/>
    </row>
    <row r="102" spans="1:5" x14ac:dyDescent="0.35">
      <c r="A102" s="32"/>
      <c r="B102" s="32"/>
      <c r="C102" s="32"/>
      <c r="D102" s="32"/>
      <c r="E102" s="32"/>
    </row>
    <row r="103" spans="1:5" x14ac:dyDescent="0.35">
      <c r="A103" s="32"/>
      <c r="B103" s="32"/>
      <c r="C103" s="32"/>
      <c r="D103" s="32"/>
      <c r="E103" s="32"/>
    </row>
    <row r="104" spans="1:5" x14ac:dyDescent="0.35">
      <c r="A104" s="32"/>
      <c r="B104" s="32"/>
      <c r="C104" s="32"/>
      <c r="D104" s="32"/>
      <c r="E104" s="32"/>
    </row>
    <row r="105" spans="1:5" x14ac:dyDescent="0.35">
      <c r="A105" s="32"/>
      <c r="B105" s="32"/>
      <c r="C105" s="32"/>
      <c r="D105" s="32"/>
      <c r="E105" s="32"/>
    </row>
    <row r="106" spans="1:5" x14ac:dyDescent="0.35">
      <c r="A106" s="32"/>
      <c r="B106" s="32"/>
      <c r="C106" s="32"/>
      <c r="D106" s="32"/>
      <c r="E106" s="32"/>
    </row>
    <row r="107" spans="1:5" x14ac:dyDescent="0.35">
      <c r="A107" s="32"/>
      <c r="B107" s="32"/>
      <c r="C107" s="32"/>
      <c r="D107" s="32"/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AE3FC-CA20-4F1C-9A0D-7EF59B39648D}">
  <sheetPr codeName="Sheet12"/>
  <dimension ref="C1:R25"/>
  <sheetViews>
    <sheetView topLeftCell="A23" zoomScale="80" zoomScaleNormal="80" workbookViewId="0">
      <selection activeCell="D10" sqref="D10"/>
    </sheetView>
  </sheetViews>
  <sheetFormatPr defaultColWidth="5.7265625" defaultRowHeight="14.5" x14ac:dyDescent="0.35"/>
  <cols>
    <col min="1" max="1" width="5.7265625" style="1"/>
    <col min="2" max="2" width="5.7265625" style="1" customWidth="1"/>
    <col min="3" max="3" width="33.6328125" style="1" customWidth="1"/>
    <col min="4" max="8" width="8.54296875" style="1" bestFit="1" customWidth="1"/>
    <col min="9" max="9" width="2.08984375" style="1" customWidth="1"/>
    <col min="10" max="11" width="12.90625" style="1" bestFit="1" customWidth="1"/>
    <col min="12" max="12" width="10" style="1" bestFit="1" customWidth="1"/>
    <col min="13" max="13" width="12.90625" style="1" bestFit="1" customWidth="1"/>
    <col min="14" max="15" width="5.7265625" style="1"/>
    <col min="16" max="16" width="8.6328125" style="1" bestFit="1" customWidth="1"/>
    <col min="17" max="16384" width="5.7265625" style="1"/>
  </cols>
  <sheetData>
    <row r="1" spans="3:18" ht="27.5" x14ac:dyDescent="0.55000000000000004">
      <c r="C1" s="152" t="s">
        <v>154</v>
      </c>
      <c r="D1" s="152"/>
      <c r="E1" s="152"/>
      <c r="F1" s="153"/>
      <c r="G1" s="350" t="s">
        <v>237</v>
      </c>
      <c r="H1" s="351"/>
      <c r="I1" s="351"/>
      <c r="J1" s="351"/>
      <c r="K1" s="352"/>
    </row>
    <row r="4" spans="3:18" ht="17" x14ac:dyDescent="0.5">
      <c r="J4" s="154" t="s">
        <v>155</v>
      </c>
      <c r="K4" s="154" t="s">
        <v>155</v>
      </c>
      <c r="L4" s="154" t="s">
        <v>155</v>
      </c>
      <c r="M4" s="154" t="s">
        <v>155</v>
      </c>
      <c r="N4" s="154"/>
      <c r="O4" s="154"/>
    </row>
    <row r="5" spans="3:18" ht="17.5" thickBot="1" x14ac:dyDescent="0.55000000000000004">
      <c r="C5" s="155" t="s">
        <v>156</v>
      </c>
      <c r="D5" s="156">
        <v>42795</v>
      </c>
      <c r="E5" s="156">
        <v>43160</v>
      </c>
      <c r="F5" s="156">
        <v>43525</v>
      </c>
      <c r="G5" s="156">
        <v>43891</v>
      </c>
      <c r="H5" s="156">
        <v>44256</v>
      </c>
      <c r="I5" s="157"/>
      <c r="J5" s="155" t="s">
        <v>157</v>
      </c>
      <c r="K5" s="155" t="s">
        <v>158</v>
      </c>
      <c r="L5" s="155" t="s">
        <v>159</v>
      </c>
      <c r="M5" s="155" t="s">
        <v>160</v>
      </c>
      <c r="N5" s="155"/>
      <c r="O5" s="154"/>
      <c r="P5" s="158" t="s">
        <v>161</v>
      </c>
      <c r="R5" s="1" t="s">
        <v>162</v>
      </c>
    </row>
    <row r="6" spans="3:18" ht="18" thickTop="1" thickBot="1" x14ac:dyDescent="0.55000000000000004">
      <c r="C6" s="1" t="s">
        <v>163</v>
      </c>
      <c r="D6" s="159">
        <v>8311.5300000000007</v>
      </c>
      <c r="E6" s="160">
        <v>9205.93</v>
      </c>
      <c r="F6" s="160">
        <v>10389.49</v>
      </c>
      <c r="G6" s="161">
        <v>10820.57</v>
      </c>
      <c r="H6" s="162">
        <v>13136</v>
      </c>
      <c r="I6" s="163"/>
      <c r="J6" s="164">
        <f>+IF(ISERROR((E6/D6)-1),"n.a.",IF(((E6/D6)-1)&gt;1,"&gt;100.0%",IF(((E6/D6)-1)&lt;-1,"&lt;-100.0%",((E6/D6)-1))))</f>
        <v>0.1076095496256404</v>
      </c>
      <c r="K6" s="165">
        <f t="shared" ref="K6:M17" si="0">+IF(ISERROR((F6/E6)-1),"n.a.",IF(((F6/E6)-1)&gt;1,"&gt;100.0%",IF(((F6/E6)-1)&lt;-1,"&lt;-100.0%",((F6/E6)-1))))</f>
        <v>0.12856495758712039</v>
      </c>
      <c r="L6" s="165">
        <f t="shared" si="0"/>
        <v>4.1491930787747933E-2</v>
      </c>
      <c r="M6" s="165">
        <f t="shared" si="0"/>
        <v>0.21398410619773278</v>
      </c>
      <c r="N6" s="154"/>
      <c r="O6" s="154"/>
      <c r="P6" s="154"/>
      <c r="R6" s="166">
        <f>_xlfn.RRI(5,D6,H6)</f>
        <v>9.5863425568192717E-2</v>
      </c>
    </row>
    <row r="7" spans="3:18" ht="17.5" thickBot="1" x14ac:dyDescent="0.55000000000000004">
      <c r="C7" s="1" t="s">
        <v>164</v>
      </c>
      <c r="D7" s="167">
        <f>D8-D6</f>
        <v>893.09999999999854</v>
      </c>
      <c r="E7" s="167">
        <f t="shared" ref="E7:H7" si="1">E8-E6</f>
        <v>874.43000000000029</v>
      </c>
      <c r="F7" s="167">
        <f t="shared" si="1"/>
        <v>871.63000000000102</v>
      </c>
      <c r="G7" s="167">
        <f t="shared" si="1"/>
        <v>1058.380000000001</v>
      </c>
      <c r="H7" s="167">
        <f t="shared" si="1"/>
        <v>313.06999999999971</v>
      </c>
      <c r="I7" s="163"/>
      <c r="J7" s="168">
        <f>+IF(ISERROR((E7/D7)-1),"n.a.",IF(((E7/D7)-1)&gt;1,"&gt;100.0%",IF(((E7/D7)-1)&lt;-1,"&lt;-100.0%",((E7/D7)-1))))</f>
        <v>-2.0904713917812456E-2</v>
      </c>
      <c r="K7" s="169">
        <f t="shared" si="0"/>
        <v>-3.2020859302622773E-3</v>
      </c>
      <c r="L7" s="169">
        <f t="shared" si="0"/>
        <v>0.21425375446003447</v>
      </c>
      <c r="M7" s="169">
        <f t="shared" si="0"/>
        <v>-0.70419886997108838</v>
      </c>
      <c r="N7" s="154"/>
      <c r="O7" s="154"/>
      <c r="P7" s="154"/>
      <c r="R7" s="166">
        <f t="shared" ref="R7:R22" si="2">_xlfn.RRI(5,D7,H7)</f>
        <v>-0.18913552699257596</v>
      </c>
    </row>
    <row r="8" spans="3:18" ht="17" x14ac:dyDescent="0.5">
      <c r="C8" s="170" t="s">
        <v>165</v>
      </c>
      <c r="D8" s="171">
        <v>9204.6299999999992</v>
      </c>
      <c r="E8" s="172">
        <v>10080.36</v>
      </c>
      <c r="F8" s="172">
        <v>11261.12</v>
      </c>
      <c r="G8" s="172">
        <v>11878.95</v>
      </c>
      <c r="H8" s="172">
        <v>13449.07</v>
      </c>
      <c r="J8" s="164">
        <f>+IF(ISERROR((E8/D8)-1),"n.a.",IF(((E8/D8)-1)&gt;1,"&gt;100.0%",IF(((E8/D8)-1)&lt;-1,"&lt;-100.0%",((E8/D8)-1))))</f>
        <v>9.5140163157020119E-2</v>
      </c>
      <c r="K8" s="164">
        <f>+IF(ISERROR((F8/E8)-1),"n.a.",IF(((F8/E8)-1)&gt;1,"&gt;100.0%",IF(((F8/E8)-1)&lt;-1,"&lt;-100.0%",((F8/E8)-1))))</f>
        <v>0.11713470550654947</v>
      </c>
      <c r="L8" s="173">
        <f t="shared" si="0"/>
        <v>5.4863992213918245E-2</v>
      </c>
      <c r="M8" s="173">
        <f t="shared" si="0"/>
        <v>0.13217666544601991</v>
      </c>
      <c r="P8" s="154"/>
      <c r="R8" s="166">
        <f t="shared" si="2"/>
        <v>7.8790674661668669E-2</v>
      </c>
    </row>
    <row r="9" spans="3:18" ht="17.5" thickBot="1" x14ac:dyDescent="0.55000000000000004">
      <c r="C9" s="174" t="s">
        <v>166</v>
      </c>
      <c r="D9" s="175">
        <v>5878.99</v>
      </c>
      <c r="E9" s="175">
        <v>6218.74</v>
      </c>
      <c r="F9" s="175">
        <v>6599.93</v>
      </c>
      <c r="G9" s="175">
        <v>6966.13</v>
      </c>
      <c r="H9" s="175">
        <v>7626.1</v>
      </c>
      <c r="J9" s="168">
        <f>+IF(ISERROR((E9/D9)-1),"n.a.",IF(((E9/D9)-1)&gt;1,"&gt;100.0%",IF(((E9/D9)-1)&lt;-1,"&lt;-100.0%",((E9/D9)-1))))</f>
        <v>5.7790538851061113E-2</v>
      </c>
      <c r="K9" s="168">
        <f>+IF(ISERROR((F9/E9)-1),"n.a.",IF(((F9/E9)-1)&gt;1,"&gt;100.0%",IF(((F9/E9)-1)&lt;-1,"&lt;-100.0%",((F9/E9)-1))))</f>
        <v>6.1296982990123539E-2</v>
      </c>
      <c r="L9" s="176">
        <f t="shared" si="0"/>
        <v>5.5485436966755675E-2</v>
      </c>
      <c r="M9" s="176">
        <f t="shared" si="0"/>
        <v>9.4739834025491909E-2</v>
      </c>
      <c r="P9" s="154"/>
      <c r="R9" s="166">
        <f t="shared" si="2"/>
        <v>5.3416107788723632E-2</v>
      </c>
    </row>
    <row r="10" spans="3:18" ht="17.5" thickBot="1" x14ac:dyDescent="0.55000000000000004">
      <c r="C10" s="157" t="s">
        <v>167</v>
      </c>
      <c r="D10" s="177">
        <f>D8-D9</f>
        <v>3325.6399999999994</v>
      </c>
      <c r="E10" s="140">
        <f>E8-E9</f>
        <v>3861.6200000000008</v>
      </c>
      <c r="F10" s="140">
        <f>F8-F9</f>
        <v>4661.1900000000005</v>
      </c>
      <c r="G10" s="140">
        <f>G8-G9</f>
        <v>4912.8200000000006</v>
      </c>
      <c r="H10" s="140">
        <f>H8-H9</f>
        <v>5822.9699999999993</v>
      </c>
      <c r="J10" s="178">
        <f>+IF(ISERROR((E10/D10)-1),"n.a.",IF(((E10/D10)-1)&gt;1,"&gt;100.0%",IF(((E10/D10)-1)&lt;-1,"&lt;-100.0%",((E10/D10)-1))))</f>
        <v>0.16116597106120967</v>
      </c>
      <c r="K10" s="179">
        <f>+IF(ISERROR((F10/E10)-1),"n.a.",IF(((F10/E10)-1)&gt;1,"&gt;100.0%",IF(((F10/E10)-1)&lt;-1,"&lt;-100.0%",((F10/E10)-1))))</f>
        <v>0.20705558806925572</v>
      </c>
      <c r="L10" s="180">
        <f t="shared" si="0"/>
        <v>5.3984068446040645E-2</v>
      </c>
      <c r="M10" s="180">
        <f t="shared" si="0"/>
        <v>0.18526019679125194</v>
      </c>
      <c r="P10" s="154"/>
      <c r="R10" s="166">
        <f t="shared" si="2"/>
        <v>0.11854603713886869</v>
      </c>
    </row>
    <row r="11" spans="3:18" ht="17.5" thickTop="1" x14ac:dyDescent="0.5">
      <c r="C11" s="181" t="s">
        <v>168</v>
      </c>
      <c r="D11" s="182">
        <v>7800.82</v>
      </c>
      <c r="E11" s="182">
        <v>8470.65</v>
      </c>
      <c r="F11" s="182">
        <v>9402.6299999999992</v>
      </c>
      <c r="G11" s="182">
        <v>9786.33</v>
      </c>
      <c r="H11" s="182">
        <v>10824.7</v>
      </c>
      <c r="J11" s="165">
        <f t="shared" ref="J11:M22" si="3">+IF(ISERROR((E11/D11)-1),"n.a.",IF(((E11/D11)-1)&gt;1,"&gt;100.0%",IF(((E11/D11)-1)&lt;-1,"&lt;-100.0%",((E11/D11)-1))))</f>
        <v>8.5866614022628296E-2</v>
      </c>
      <c r="K11" s="164">
        <f t="shared" si="3"/>
        <v>0.11002461440385325</v>
      </c>
      <c r="L11" s="173">
        <f t="shared" si="0"/>
        <v>4.0807731453859297E-2</v>
      </c>
      <c r="M11" s="173">
        <f t="shared" si="0"/>
        <v>0.10610412687902415</v>
      </c>
      <c r="P11" s="154"/>
      <c r="R11" s="166">
        <f t="shared" si="2"/>
        <v>6.7714455152798614E-2</v>
      </c>
    </row>
    <row r="12" spans="3:18" ht="17" x14ac:dyDescent="0.5">
      <c r="D12" s="140"/>
      <c r="E12" s="140"/>
      <c r="F12" s="140"/>
      <c r="G12" s="140"/>
      <c r="H12" s="140"/>
      <c r="J12" s="165"/>
      <c r="K12" s="164"/>
      <c r="L12" s="173"/>
      <c r="M12" s="173"/>
      <c r="P12" s="154"/>
      <c r="R12" s="166">
        <f t="shared" si="2"/>
        <v>0</v>
      </c>
    </row>
    <row r="13" spans="3:18" ht="17" x14ac:dyDescent="0.5">
      <c r="C13" s="157" t="s">
        <v>169</v>
      </c>
      <c r="D13" s="140"/>
      <c r="E13" s="140"/>
      <c r="F13" s="140"/>
      <c r="G13" s="140"/>
      <c r="H13" s="140"/>
      <c r="J13" s="165"/>
      <c r="K13" s="164"/>
      <c r="L13" s="173"/>
      <c r="M13" s="173"/>
      <c r="P13" s="154"/>
      <c r="R13" s="166">
        <f t="shared" si="2"/>
        <v>0</v>
      </c>
    </row>
    <row r="14" spans="3:18" ht="17" x14ac:dyDescent="0.5">
      <c r="C14" s="1" t="s">
        <v>170</v>
      </c>
      <c r="D14" s="183">
        <v>119</v>
      </c>
      <c r="E14" s="183">
        <v>142</v>
      </c>
      <c r="F14" s="183">
        <v>162</v>
      </c>
      <c r="G14" s="183">
        <v>185</v>
      </c>
      <c r="H14" s="183">
        <v>198</v>
      </c>
      <c r="J14" s="165">
        <f t="shared" si="3"/>
        <v>0.19327731092436973</v>
      </c>
      <c r="K14" s="164">
        <f t="shared" si="3"/>
        <v>0.14084507042253525</v>
      </c>
      <c r="L14" s="173">
        <f t="shared" si="0"/>
        <v>0.14197530864197527</v>
      </c>
      <c r="M14" s="173">
        <f t="shared" si="0"/>
        <v>7.0270270270270219E-2</v>
      </c>
      <c r="P14" s="154"/>
      <c r="R14" s="166">
        <f t="shared" si="2"/>
        <v>0.10719380150799163</v>
      </c>
    </row>
    <row r="15" spans="3:18" ht="17" x14ac:dyDescent="0.5">
      <c r="C15" s="1" t="s">
        <v>171</v>
      </c>
      <c r="D15" s="184">
        <v>96</v>
      </c>
      <c r="E15" s="184">
        <v>120</v>
      </c>
      <c r="F15" s="184">
        <v>135</v>
      </c>
      <c r="G15" s="184">
        <v>152</v>
      </c>
      <c r="H15" s="184">
        <v>167</v>
      </c>
      <c r="J15" s="165">
        <f t="shared" si="3"/>
        <v>0.25</v>
      </c>
      <c r="K15" s="164">
        <f t="shared" si="3"/>
        <v>0.125</v>
      </c>
      <c r="L15" s="173">
        <f t="shared" si="0"/>
        <v>0.125925925925926</v>
      </c>
      <c r="M15" s="173">
        <f t="shared" si="0"/>
        <v>9.8684210526315708E-2</v>
      </c>
      <c r="P15" s="154"/>
      <c r="R15" s="166">
        <f t="shared" si="2"/>
        <v>0.11709227259373334</v>
      </c>
    </row>
    <row r="16" spans="3:18" ht="17.5" thickBot="1" x14ac:dyDescent="0.55000000000000004">
      <c r="D16" s="140"/>
      <c r="E16" s="140"/>
      <c r="F16" s="140"/>
      <c r="G16" s="140"/>
      <c r="H16" s="140"/>
      <c r="J16" s="165"/>
      <c r="K16" s="164"/>
      <c r="L16" s="173"/>
      <c r="M16" s="173"/>
      <c r="P16" s="154"/>
      <c r="R16" s="166">
        <f t="shared" si="2"/>
        <v>0</v>
      </c>
    </row>
    <row r="17" spans="3:18" ht="17.5" thickBot="1" x14ac:dyDescent="0.55000000000000004">
      <c r="C17" s="90" t="s">
        <v>172</v>
      </c>
      <c r="D17" s="185">
        <v>1419.2</v>
      </c>
      <c r="E17" s="185">
        <v>1656.56</v>
      </c>
      <c r="F17" s="185">
        <v>1926.68</v>
      </c>
      <c r="G17" s="185">
        <v>2035.47</v>
      </c>
      <c r="H17" s="185">
        <v>2835.67</v>
      </c>
      <c r="J17" s="165">
        <f t="shared" si="3"/>
        <v>0.16724915445321309</v>
      </c>
      <c r="K17" s="164">
        <f t="shared" si="3"/>
        <v>0.16306080069541706</v>
      </c>
      <c r="L17" s="173">
        <f t="shared" si="0"/>
        <v>5.6465007162580072E-2</v>
      </c>
      <c r="M17" s="173">
        <f t="shared" si="0"/>
        <v>0.39312787709963803</v>
      </c>
      <c r="P17" s="154"/>
      <c r="R17" s="166">
        <f t="shared" si="2"/>
        <v>0.14847730414591687</v>
      </c>
    </row>
    <row r="18" spans="3:18" ht="17" x14ac:dyDescent="0.5">
      <c r="D18" s="186"/>
      <c r="E18" s="186"/>
      <c r="F18" s="186"/>
      <c r="G18" s="186"/>
      <c r="H18" s="186"/>
      <c r="J18" s="165"/>
      <c r="K18" s="164"/>
      <c r="L18" s="173"/>
      <c r="M18" s="173"/>
      <c r="P18" s="154"/>
      <c r="R18" s="166">
        <f t="shared" si="2"/>
        <v>0</v>
      </c>
    </row>
    <row r="19" spans="3:18" ht="17" x14ac:dyDescent="0.5">
      <c r="C19" s="1" t="s">
        <v>173</v>
      </c>
      <c r="D19" s="186">
        <v>110.9</v>
      </c>
      <c r="E19" s="186">
        <v>0.26</v>
      </c>
      <c r="F19" s="186">
        <v>0.26</v>
      </c>
      <c r="G19" s="186">
        <v>0.26</v>
      </c>
      <c r="H19" s="186">
        <v>0.26</v>
      </c>
      <c r="J19" s="165">
        <f t="shared" si="3"/>
        <v>-0.99765554553651936</v>
      </c>
      <c r="K19" s="164">
        <f t="shared" si="3"/>
        <v>0</v>
      </c>
      <c r="L19" s="173">
        <f t="shared" si="3"/>
        <v>0</v>
      </c>
      <c r="M19" s="173">
        <f t="shared" si="3"/>
        <v>0</v>
      </c>
      <c r="P19" s="154"/>
      <c r="R19" s="166">
        <f t="shared" si="2"/>
        <v>-0.70214262322364795</v>
      </c>
    </row>
    <row r="20" spans="3:18" ht="17" x14ac:dyDescent="0.5">
      <c r="C20" s="187" t="s">
        <v>174</v>
      </c>
      <c r="D20" s="188">
        <v>1304</v>
      </c>
      <c r="E20" s="188">
        <v>1518</v>
      </c>
      <c r="F20" s="188">
        <v>1768</v>
      </c>
      <c r="G20" s="188">
        <v>1844</v>
      </c>
      <c r="H20" s="188">
        <v>2514</v>
      </c>
      <c r="J20" s="165">
        <f t="shared" si="3"/>
        <v>0.16411042944785281</v>
      </c>
      <c r="K20" s="164">
        <f t="shared" si="3"/>
        <v>0.16469038208168651</v>
      </c>
      <c r="L20" s="173">
        <f t="shared" si="3"/>
        <v>4.2986425339366585E-2</v>
      </c>
      <c r="M20" s="173">
        <f t="shared" si="3"/>
        <v>0.3633405639913232</v>
      </c>
      <c r="P20" s="154"/>
      <c r="R20" s="166">
        <f t="shared" si="2"/>
        <v>0.14029583067347695</v>
      </c>
    </row>
    <row r="21" spans="3:18" ht="17.5" thickBot="1" x14ac:dyDescent="0.55000000000000004">
      <c r="C21" s="43" t="s">
        <v>175</v>
      </c>
      <c r="D21" s="189">
        <f>D20-D22</f>
        <v>419.53</v>
      </c>
      <c r="E21" s="189">
        <f>E20-E22</f>
        <v>513.77</v>
      </c>
      <c r="F21" s="189">
        <f>F20-F22</f>
        <v>608.88000000000011</v>
      </c>
      <c r="G21" s="189">
        <f>G20-G22</f>
        <v>441.36999999999989</v>
      </c>
      <c r="H21" s="189">
        <f>H20-H22</f>
        <v>650.09999999999991</v>
      </c>
      <c r="J21" s="190"/>
      <c r="K21" s="191"/>
      <c r="L21" s="192"/>
      <c r="M21" s="192"/>
      <c r="P21" s="154"/>
      <c r="R21" s="166">
        <f t="shared" si="2"/>
        <v>9.1549484299073169E-2</v>
      </c>
    </row>
    <row r="22" spans="3:18" ht="17.5" thickBot="1" x14ac:dyDescent="0.55000000000000004">
      <c r="C22" s="1" t="s">
        <v>176</v>
      </c>
      <c r="D22" s="186">
        <v>884.47</v>
      </c>
      <c r="E22" s="186">
        <v>1004.23</v>
      </c>
      <c r="F22" s="186">
        <v>1159.1199999999999</v>
      </c>
      <c r="G22" s="186">
        <v>1402.63</v>
      </c>
      <c r="H22" s="186">
        <v>1863.9</v>
      </c>
      <c r="J22" s="178">
        <f t="shared" si="3"/>
        <v>0.13540312277409061</v>
      </c>
      <c r="K22" s="179">
        <f t="shared" si="3"/>
        <v>0.15423757505750668</v>
      </c>
      <c r="L22" s="180">
        <f t="shared" si="3"/>
        <v>0.21008178618262141</v>
      </c>
      <c r="M22" s="180">
        <f t="shared" si="3"/>
        <v>0.32886078295772947</v>
      </c>
      <c r="P22" s="154"/>
      <c r="R22" s="166">
        <f t="shared" si="2"/>
        <v>0.16077461061963416</v>
      </c>
    </row>
    <row r="23" spans="3:18" ht="15" thickTop="1" x14ac:dyDescent="0.35">
      <c r="C23" s="181"/>
      <c r="D23" s="181"/>
      <c r="E23" s="181"/>
      <c r="F23" s="181"/>
      <c r="G23" s="181"/>
      <c r="H23" s="181"/>
    </row>
    <row r="24" spans="3:18" ht="15" thickBot="1" x14ac:dyDescent="0.4">
      <c r="R24" s="24">
        <f>SUM(R6:R22)</f>
        <v>0.28843585393385451</v>
      </c>
    </row>
    <row r="25" spans="3:18" ht="15" thickBot="1" x14ac:dyDescent="0.4">
      <c r="H25" s="193"/>
      <c r="I25" s="193"/>
    </row>
  </sheetData>
  <conditionalFormatting sqref="J6:M1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6:M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4">
      <colorScale>
        <cfvo type="min"/>
        <cfvo type="max"/>
        <color rgb="FFFF7128"/>
        <color rgb="FFFFEF9C"/>
      </colorScale>
    </cfRule>
  </conditionalFormatting>
  <conditionalFormatting sqref="R6:R2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90" verticalDpi="9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CEEE2D5-E76D-4EC9-9568-1FC5BF359A2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'Income statement'!D6:H6</xm:f>
              <xm:sqref>P6</xm:sqref>
            </x14:sparkline>
            <x14:sparkline>
              <xm:f>'Income statement'!D7:H7</xm:f>
              <xm:sqref>P7</xm:sqref>
            </x14:sparkline>
            <x14:sparkline>
              <xm:f>'Income statement'!D8:H8</xm:f>
              <xm:sqref>P8</xm:sqref>
            </x14:sparkline>
            <x14:sparkline>
              <xm:f>'Income statement'!D9:H9</xm:f>
              <xm:sqref>P9</xm:sqref>
            </x14:sparkline>
            <x14:sparkline>
              <xm:f>'Income statement'!D10:H10</xm:f>
              <xm:sqref>P10</xm:sqref>
            </x14:sparkline>
            <x14:sparkline>
              <xm:f>'Income statement'!D11:H11</xm:f>
              <xm:sqref>P11</xm:sqref>
            </x14:sparkline>
            <x14:sparkline>
              <xm:f>'Income statement'!D12:H12</xm:f>
              <xm:sqref>P12</xm:sqref>
            </x14:sparkline>
            <x14:sparkline>
              <xm:f>'Income statement'!D13:H13</xm:f>
              <xm:sqref>P13</xm:sqref>
            </x14:sparkline>
            <x14:sparkline>
              <xm:f>'Income statement'!D14:H14</xm:f>
              <xm:sqref>P14</xm:sqref>
            </x14:sparkline>
            <x14:sparkline>
              <xm:f>'Income statement'!D15:H15</xm:f>
              <xm:sqref>P15</xm:sqref>
            </x14:sparkline>
            <x14:sparkline>
              <xm:f>'Income statement'!D16:H16</xm:f>
              <xm:sqref>P16</xm:sqref>
            </x14:sparkline>
            <x14:sparkline>
              <xm:f>'Income statement'!D17:H17</xm:f>
              <xm:sqref>P17</xm:sqref>
            </x14:sparkline>
            <x14:sparkline>
              <xm:f>'Income statement'!D18:H18</xm:f>
              <xm:sqref>P18</xm:sqref>
            </x14:sparkline>
            <x14:sparkline>
              <xm:f>'Income statement'!D19:H19</xm:f>
              <xm:sqref>P19</xm:sqref>
            </x14:sparkline>
            <x14:sparkline>
              <xm:f>'Income statement'!D20:H20</xm:f>
              <xm:sqref>P20</xm:sqref>
            </x14:sparkline>
            <x14:sparkline>
              <xm:f>'Income statement'!D21:H21</xm:f>
              <xm:sqref>P21</xm:sqref>
            </x14:sparkline>
            <x14:sparkline>
              <xm:f>'Income statement'!D22:H22</xm:f>
              <xm:sqref>P22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75FE6-D343-4D51-8824-EBD751363672}">
  <sheetPr codeName="Sheet13"/>
  <dimension ref="B2:S25"/>
  <sheetViews>
    <sheetView topLeftCell="J12" workbookViewId="0">
      <selection activeCell="Z30" sqref="Z30"/>
    </sheetView>
  </sheetViews>
  <sheetFormatPr defaultRowHeight="14.5" x14ac:dyDescent="0.35"/>
  <cols>
    <col min="1" max="1" width="8.7265625" style="1"/>
    <col min="2" max="2" width="20.453125" style="1" bestFit="1" customWidth="1"/>
    <col min="3" max="3" width="26.08984375" style="1" bestFit="1" customWidth="1"/>
    <col min="4" max="4" width="9.90625" style="1" bestFit="1" customWidth="1"/>
    <col min="5" max="5" width="14.7265625" style="1" bestFit="1" customWidth="1"/>
    <col min="6" max="6" width="6.453125" style="1" bestFit="1" customWidth="1"/>
    <col min="7" max="7" width="8.6328125" style="1" customWidth="1"/>
    <col min="8" max="9" width="7.1796875" style="1" bestFit="1" customWidth="1"/>
    <col min="10" max="10" width="6.453125" style="1" bestFit="1" customWidth="1"/>
    <col min="11" max="11" width="6.453125" style="1" customWidth="1"/>
    <col min="12" max="13" width="12.90625" style="1" bestFit="1" customWidth="1"/>
    <col min="14" max="14" width="10" style="1" bestFit="1" customWidth="1"/>
    <col min="15" max="15" width="12.90625" style="1" bestFit="1" customWidth="1"/>
    <col min="16" max="16" width="8.7265625" style="1"/>
    <col min="17" max="17" width="10.7265625" style="1" customWidth="1"/>
    <col min="18" max="18" width="1.26953125" style="1" bestFit="1" customWidth="1"/>
    <col min="19" max="19" width="11.90625" style="1" customWidth="1"/>
    <col min="20" max="20" width="6.453125" style="1" bestFit="1" customWidth="1"/>
    <col min="21" max="16384" width="8.7265625" style="1"/>
  </cols>
  <sheetData>
    <row r="2" spans="2:19" ht="28" x14ac:dyDescent="0.8">
      <c r="B2" s="353" t="s">
        <v>232</v>
      </c>
      <c r="C2" s="354"/>
      <c r="D2" s="352" t="s">
        <v>238</v>
      </c>
      <c r="E2" s="355"/>
      <c r="F2" s="356"/>
      <c r="G2" s="194"/>
      <c r="H2" s="4"/>
      <c r="I2" s="4"/>
      <c r="L2" s="151"/>
      <c r="N2" s="151"/>
    </row>
    <row r="4" spans="2:19" ht="17" x14ac:dyDescent="0.5">
      <c r="L4" s="195" t="s">
        <v>155</v>
      </c>
      <c r="M4" s="196" t="s">
        <v>155</v>
      </c>
      <c r="N4" s="196" t="s">
        <v>155</v>
      </c>
      <c r="O4" s="197" t="s">
        <v>155</v>
      </c>
    </row>
    <row r="5" spans="2:19" ht="17.5" thickBot="1" x14ac:dyDescent="0.55000000000000004">
      <c r="B5" s="198" t="s">
        <v>177</v>
      </c>
      <c r="C5" s="199" t="s">
        <v>178</v>
      </c>
      <c r="D5" s="199" t="s">
        <v>179</v>
      </c>
      <c r="E5" s="200" t="s">
        <v>180</v>
      </c>
      <c r="F5" s="201">
        <v>2017</v>
      </c>
      <c r="G5" s="199">
        <v>2018</v>
      </c>
      <c r="H5" s="199">
        <v>2019</v>
      </c>
      <c r="I5" s="199">
        <v>2020</v>
      </c>
      <c r="J5" s="202">
        <v>2021</v>
      </c>
      <c r="K5" s="154"/>
      <c r="L5" s="203" t="s">
        <v>157</v>
      </c>
      <c r="M5" s="155" t="s">
        <v>158</v>
      </c>
      <c r="N5" s="155" t="s">
        <v>159</v>
      </c>
      <c r="O5" s="204" t="s">
        <v>160</v>
      </c>
      <c r="Q5" s="205" t="s">
        <v>162</v>
      </c>
      <c r="S5" s="205" t="s">
        <v>161</v>
      </c>
    </row>
    <row r="6" spans="2:19" ht="17.5" thickTop="1" x14ac:dyDescent="0.5">
      <c r="B6" s="206" t="s">
        <v>181</v>
      </c>
      <c r="C6" s="207"/>
      <c r="D6" s="208">
        <v>0.4</v>
      </c>
      <c r="E6" s="37"/>
      <c r="F6" s="37"/>
      <c r="G6" s="37"/>
      <c r="H6" s="37"/>
      <c r="I6" s="37"/>
      <c r="J6" s="209"/>
      <c r="K6" s="37"/>
      <c r="L6" s="210"/>
      <c r="O6" s="211"/>
    </row>
    <row r="7" spans="2:19" x14ac:dyDescent="0.35">
      <c r="B7" s="210"/>
      <c r="C7" s="22" t="s">
        <v>182</v>
      </c>
      <c r="E7" s="212">
        <v>0.02</v>
      </c>
      <c r="F7" s="213">
        <v>45.9</v>
      </c>
      <c r="G7" s="213">
        <v>59.45</v>
      </c>
      <c r="H7" s="213">
        <v>63.93</v>
      </c>
      <c r="I7" s="214">
        <v>46.1</v>
      </c>
      <c r="J7" s="215">
        <v>44.24</v>
      </c>
      <c r="K7" s="214"/>
      <c r="L7" s="216">
        <f t="shared" ref="L7:O11" si="0">+IF(ISERROR((G7/F7)-1),"n.a.",IF(((G7/F7)-1)&gt;1,"&gt;100.0%",IF(((G7/F7)-1)&lt;-1,"&lt;-100.0%",((G7/F7)-1))))</f>
        <v>0.29520697167756005</v>
      </c>
      <c r="M7" s="217">
        <f t="shared" si="0"/>
        <v>7.5357443229604693E-2</v>
      </c>
      <c r="N7" s="217">
        <f t="shared" si="0"/>
        <v>-0.27889879555764119</v>
      </c>
      <c r="O7" s="218">
        <f t="shared" si="0"/>
        <v>-4.0347071583514138E-2</v>
      </c>
      <c r="Q7" s="166">
        <f>_xlfn.RRI(5,F7,J7)</f>
        <v>-7.3400810257868709E-3</v>
      </c>
    </row>
    <row r="8" spans="2:19" x14ac:dyDescent="0.35">
      <c r="B8" s="210"/>
      <c r="C8" s="22" t="s">
        <v>183</v>
      </c>
      <c r="E8" s="212">
        <v>0.15</v>
      </c>
      <c r="F8" s="219">
        <v>0.32369999999999999</v>
      </c>
      <c r="G8" s="220">
        <v>0.29289999999999999</v>
      </c>
      <c r="H8" s="220">
        <v>0.27779999999999999</v>
      </c>
      <c r="I8" s="220">
        <v>0.34720000000000001</v>
      </c>
      <c r="J8" s="221">
        <v>0.5302</v>
      </c>
      <c r="K8" s="220"/>
      <c r="L8" s="216">
        <f t="shared" si="0"/>
        <v>-9.5149830089589105E-2</v>
      </c>
      <c r="M8" s="217">
        <f t="shared" si="0"/>
        <v>-5.1553431205189515E-2</v>
      </c>
      <c r="N8" s="217">
        <f t="shared" si="0"/>
        <v>0.24982001439884827</v>
      </c>
      <c r="O8" s="218">
        <f t="shared" si="0"/>
        <v>0.52707373271889391</v>
      </c>
      <c r="Q8" s="151">
        <f>_xlfn.RRI(5,F8,J8)</f>
        <v>0.10372125171394142</v>
      </c>
    </row>
    <row r="9" spans="2:19" x14ac:dyDescent="0.35">
      <c r="B9" s="210"/>
      <c r="C9" s="22" t="s">
        <v>184</v>
      </c>
      <c r="E9" s="212">
        <v>0.05</v>
      </c>
      <c r="F9" s="220">
        <v>0.3236</v>
      </c>
      <c r="G9" s="220">
        <v>0.29060000000000002</v>
      </c>
      <c r="H9" s="220">
        <v>0.4219</v>
      </c>
      <c r="I9" s="220">
        <v>0.38790000000000002</v>
      </c>
      <c r="J9" s="221">
        <v>0.60589999999999999</v>
      </c>
      <c r="K9" s="220"/>
      <c r="L9" s="216">
        <f t="shared" si="0"/>
        <v>-0.10197775030902345</v>
      </c>
      <c r="M9" s="217">
        <f t="shared" si="0"/>
        <v>0.45182381280110095</v>
      </c>
      <c r="N9" s="217">
        <f t="shared" si="0"/>
        <v>-8.0587817018250685E-2</v>
      </c>
      <c r="O9" s="218">
        <f t="shared" si="0"/>
        <v>0.56200051559680309</v>
      </c>
      <c r="P9" s="222"/>
      <c r="Q9" s="151">
        <f t="shared" ref="Q9:Q23" si="1">_xlfn.RRI(5,F9,J9)</f>
        <v>0.13364868322412571</v>
      </c>
      <c r="R9" s="222"/>
    </row>
    <row r="10" spans="2:19" x14ac:dyDescent="0.35">
      <c r="B10" s="210"/>
      <c r="C10" s="22" t="s">
        <v>185</v>
      </c>
      <c r="E10" s="212">
        <v>0.08</v>
      </c>
      <c r="F10" s="220">
        <v>0.22819999999999999</v>
      </c>
      <c r="G10" s="223">
        <v>0.20480000000000001</v>
      </c>
      <c r="H10" s="220">
        <v>0.19850000000000001</v>
      </c>
      <c r="I10" s="220">
        <v>0.2046</v>
      </c>
      <c r="J10" s="221">
        <v>0.23730000000000001</v>
      </c>
      <c r="K10" s="220"/>
      <c r="L10" s="216">
        <f t="shared" si="0"/>
        <v>-0.10254163014899198</v>
      </c>
      <c r="M10" s="217">
        <f t="shared" si="0"/>
        <v>-3.076171875E-2</v>
      </c>
      <c r="N10" s="217">
        <f t="shared" si="0"/>
        <v>3.0730478589420684E-2</v>
      </c>
      <c r="O10" s="218">
        <f t="shared" si="0"/>
        <v>0.15982404692082119</v>
      </c>
      <c r="P10" s="222"/>
      <c r="Q10" s="151">
        <f t="shared" si="1"/>
        <v>7.8512055411203985E-3</v>
      </c>
      <c r="R10" s="222"/>
    </row>
    <row r="11" spans="2:19" x14ac:dyDescent="0.35">
      <c r="B11" s="210"/>
      <c r="C11" s="37" t="s">
        <v>186</v>
      </c>
      <c r="E11" s="212">
        <v>0.1</v>
      </c>
      <c r="F11" s="224">
        <v>9.7600000000000006E-2</v>
      </c>
      <c r="G11" s="224">
        <v>0.1012</v>
      </c>
      <c r="H11" s="224">
        <v>0.1046</v>
      </c>
      <c r="I11" s="224">
        <v>0.1201</v>
      </c>
      <c r="J11" s="225">
        <v>0.14080000000000001</v>
      </c>
      <c r="K11" s="226"/>
      <c r="L11" s="216">
        <f t="shared" si="0"/>
        <v>3.688524590163933E-2</v>
      </c>
      <c r="M11" s="217">
        <f t="shared" si="0"/>
        <v>3.359683794466406E-2</v>
      </c>
      <c r="N11" s="217">
        <f t="shared" si="0"/>
        <v>0.14818355640535374</v>
      </c>
      <c r="O11" s="218">
        <f t="shared" si="0"/>
        <v>0.17235636969192347</v>
      </c>
      <c r="Q11" s="151">
        <f t="shared" si="1"/>
        <v>7.6045331028665064E-2</v>
      </c>
      <c r="R11" s="227"/>
    </row>
    <row r="12" spans="2:19" x14ac:dyDescent="0.35">
      <c r="B12" s="228"/>
      <c r="C12" s="37"/>
      <c r="D12" s="37"/>
      <c r="E12" s="22"/>
      <c r="F12" s="214"/>
      <c r="G12" s="214"/>
      <c r="H12" s="214"/>
      <c r="I12" s="229"/>
      <c r="J12" s="230"/>
      <c r="K12" s="231"/>
      <c r="L12" s="216"/>
      <c r="M12" s="217"/>
      <c r="N12" s="217"/>
      <c r="O12" s="218"/>
      <c r="Q12" s="151"/>
      <c r="R12" s="227"/>
    </row>
    <row r="13" spans="2:19" ht="17" x14ac:dyDescent="0.5">
      <c r="B13" s="232" t="s">
        <v>187</v>
      </c>
      <c r="C13" s="157"/>
      <c r="D13" s="208">
        <v>0.15</v>
      </c>
      <c r="E13" s="22"/>
      <c r="F13" s="214"/>
      <c r="G13" s="214"/>
      <c r="H13" s="214"/>
      <c r="I13" s="229"/>
      <c r="J13" s="230"/>
      <c r="K13" s="231"/>
      <c r="L13" s="216"/>
      <c r="M13" s="217"/>
      <c r="N13" s="217"/>
      <c r="O13" s="218"/>
      <c r="Q13" s="151"/>
      <c r="R13" s="227"/>
    </row>
    <row r="14" spans="2:19" x14ac:dyDescent="0.35">
      <c r="B14" s="210"/>
      <c r="C14" s="37" t="s">
        <v>188</v>
      </c>
      <c r="D14" s="37"/>
      <c r="E14" s="212">
        <v>0.1</v>
      </c>
      <c r="F14" s="233">
        <v>2.4026999999999998</v>
      </c>
      <c r="G14" s="233">
        <v>2.0105</v>
      </c>
      <c r="H14" s="233">
        <v>1.956</v>
      </c>
      <c r="I14" s="233">
        <v>0.252</v>
      </c>
      <c r="J14" s="234">
        <v>0.2366</v>
      </c>
      <c r="K14" s="233"/>
      <c r="L14" s="216">
        <f>+IF(ISERROR((G14/F14)-1),"n.a.",IF(((G14/F14)-1)&gt;1,"&gt;100.0%",IF(((G14/F14)-1)&lt;-1,"&lt;-100.0%",((G14/F14)-1))))</f>
        <v>-0.16323302950846963</v>
      </c>
      <c r="M14" s="217">
        <f t="shared" ref="M14:O15" si="2">+IF(ISERROR((H14/G14)-1),"n.a.",IF(((H14/G14)-1)&gt;1,"&gt;100.0%",IF(((H14/G14)-1)&lt;-1,"&lt;-100.0%",((H14/G14)-1))))</f>
        <v>-2.7107684655558351E-2</v>
      </c>
      <c r="N14" s="217">
        <f t="shared" si="2"/>
        <v>-0.87116564417177911</v>
      </c>
      <c r="O14" s="218">
        <f t="shared" si="2"/>
        <v>-6.1111111111111116E-2</v>
      </c>
      <c r="Q14" s="151">
        <f t="shared" si="1"/>
        <v>-0.37098205073136103</v>
      </c>
      <c r="R14" s="227"/>
    </row>
    <row r="15" spans="2:19" x14ac:dyDescent="0.35">
      <c r="B15" s="210"/>
      <c r="C15" s="1" t="s">
        <v>189</v>
      </c>
      <c r="E15" s="235">
        <v>0.05</v>
      </c>
      <c r="F15" s="231">
        <v>0.04</v>
      </c>
      <c r="G15" s="222">
        <v>0.05</v>
      </c>
      <c r="H15" s="222">
        <v>0.03</v>
      </c>
      <c r="I15" s="222">
        <v>0.34</v>
      </c>
      <c r="J15" s="236">
        <v>0.59</v>
      </c>
      <c r="K15" s="222"/>
      <c r="L15" s="216">
        <f>+IF(ISERROR((G15/F15)-1),"n.a.",IF(((G15/F15)-1)&gt;1,"&gt;100.0%",IF(((G15/F15)-1)&lt;-1,"&lt;-100.0%",((G15/F15)-1))))</f>
        <v>0.25</v>
      </c>
      <c r="M15" s="217">
        <f t="shared" si="2"/>
        <v>-0.4</v>
      </c>
      <c r="N15" s="237" t="str">
        <f t="shared" si="2"/>
        <v>&gt;100.0%</v>
      </c>
      <c r="O15" s="218">
        <f t="shared" si="2"/>
        <v>0.73529411764705865</v>
      </c>
      <c r="Q15" s="151">
        <f t="shared" si="1"/>
        <v>0.71300410643453049</v>
      </c>
    </row>
    <row r="16" spans="2:19" x14ac:dyDescent="0.35">
      <c r="B16" s="210"/>
      <c r="E16" s="32"/>
      <c r="F16" s="238"/>
      <c r="J16" s="211"/>
      <c r="L16" s="210"/>
      <c r="O16" s="211"/>
      <c r="Q16" s="151"/>
    </row>
    <row r="17" spans="2:17" ht="17" x14ac:dyDescent="0.5">
      <c r="B17" s="232" t="s">
        <v>190</v>
      </c>
      <c r="C17" s="157"/>
      <c r="D17" s="24">
        <v>0.3</v>
      </c>
      <c r="E17" s="32"/>
      <c r="F17" s="107"/>
      <c r="J17" s="211"/>
      <c r="L17" s="210"/>
      <c r="O17" s="211"/>
      <c r="Q17" s="151"/>
    </row>
    <row r="18" spans="2:17" x14ac:dyDescent="0.35">
      <c r="B18" s="210"/>
      <c r="C18" s="1" t="s">
        <v>191</v>
      </c>
      <c r="D18" s="24"/>
      <c r="E18" s="235">
        <v>0.1</v>
      </c>
      <c r="F18" s="231">
        <v>13.69</v>
      </c>
      <c r="G18" s="231">
        <v>15.19</v>
      </c>
      <c r="H18" s="222">
        <v>14.15</v>
      </c>
      <c r="I18" s="231">
        <v>15.65</v>
      </c>
      <c r="J18" s="230">
        <v>12.04</v>
      </c>
      <c r="K18" s="231"/>
      <c r="L18" s="216">
        <f t="shared" ref="L18:O19" si="3">+IF(ISERROR((G18/F18)-1),"n.a.",IF(((G18/F18)-1)&gt;1,"&gt;100.0%",IF(((G18/F18)-1)&lt;-1,"&lt;-100.0%",((G18/F18)-1))))</f>
        <v>0.10956902848794736</v>
      </c>
      <c r="M18" s="217">
        <f t="shared" si="3"/>
        <v>-6.8466096115865627E-2</v>
      </c>
      <c r="N18" s="217">
        <f t="shared" si="3"/>
        <v>0.10600706713780927</v>
      </c>
      <c r="O18" s="218">
        <f t="shared" si="3"/>
        <v>-0.23067092651757193</v>
      </c>
      <c r="Q18" s="151">
        <f t="shared" si="1"/>
        <v>-2.5359154936025141E-2</v>
      </c>
    </row>
    <row r="19" spans="2:17" ht="28.5" x14ac:dyDescent="0.35">
      <c r="B19" s="210"/>
      <c r="C19" s="239" t="s">
        <v>192</v>
      </c>
      <c r="E19" s="212">
        <v>0.2</v>
      </c>
      <c r="F19" s="240">
        <v>2.2035</v>
      </c>
      <c r="G19" s="241">
        <v>1.9109</v>
      </c>
      <c r="H19" s="242">
        <v>1.7709999999999999</v>
      </c>
      <c r="I19" s="241">
        <v>1.4791000000000001</v>
      </c>
      <c r="J19" s="243">
        <v>1.6402000000000001</v>
      </c>
      <c r="K19" s="233"/>
      <c r="L19" s="216">
        <f t="shared" si="3"/>
        <v>-0.13278874517812567</v>
      </c>
      <c r="M19" s="217">
        <f t="shared" si="3"/>
        <v>-7.3211575697315512E-2</v>
      </c>
      <c r="N19" s="217">
        <f t="shared" si="3"/>
        <v>-0.16482213438735172</v>
      </c>
      <c r="O19" s="218">
        <f t="shared" si="3"/>
        <v>0.10891758501791626</v>
      </c>
      <c r="Q19" s="151">
        <f t="shared" si="1"/>
        <v>-5.7336371827941823E-2</v>
      </c>
    </row>
    <row r="20" spans="2:17" x14ac:dyDescent="0.35">
      <c r="B20" s="210"/>
      <c r="E20" s="32"/>
      <c r="J20" s="211"/>
      <c r="L20" s="216"/>
      <c r="M20" s="217"/>
      <c r="N20" s="217"/>
      <c r="O20" s="211"/>
      <c r="Q20" s="151"/>
    </row>
    <row r="21" spans="2:17" ht="17" x14ac:dyDescent="0.5">
      <c r="B21" s="232" t="s">
        <v>193</v>
      </c>
      <c r="C21" s="157"/>
      <c r="D21" s="24">
        <v>0.15</v>
      </c>
      <c r="E21" s="32"/>
      <c r="J21" s="211"/>
      <c r="L21" s="216"/>
      <c r="M21" s="217"/>
      <c r="N21" s="217"/>
      <c r="O21" s="211"/>
      <c r="Q21" s="151"/>
    </row>
    <row r="22" spans="2:17" x14ac:dyDescent="0.35">
      <c r="B22" s="210"/>
      <c r="C22" s="1" t="s">
        <v>194</v>
      </c>
      <c r="E22" s="235">
        <v>0.08</v>
      </c>
      <c r="F22" s="222">
        <v>1.84</v>
      </c>
      <c r="G22" s="231">
        <v>2.0299999999999998</v>
      </c>
      <c r="H22" s="231">
        <v>1.94</v>
      </c>
      <c r="I22" s="222">
        <v>1.45</v>
      </c>
      <c r="J22" s="230">
        <v>1.21</v>
      </c>
      <c r="K22" s="231"/>
      <c r="L22" s="216">
        <f t="shared" ref="L22:O23" si="4">+IF(ISERROR((G22/F22)-1),"n.a.",IF(((G22/F22)-1)&gt;1,"&gt;100.0%",IF(((G22/F22)-1)&lt;-1,"&lt;-100.0%",((G22/F22)-1))))</f>
        <v>0.10326086956521729</v>
      </c>
      <c r="M22" s="217">
        <f t="shared" si="4"/>
        <v>-4.4334975369458074E-2</v>
      </c>
      <c r="N22" s="217">
        <f t="shared" si="4"/>
        <v>-0.25257731958762886</v>
      </c>
      <c r="O22" s="218">
        <f t="shared" si="4"/>
        <v>-0.16551724137931034</v>
      </c>
      <c r="Q22" s="151">
        <f t="shared" si="1"/>
        <v>-8.0411546709575399E-2</v>
      </c>
    </row>
    <row r="23" spans="2:17" x14ac:dyDescent="0.35">
      <c r="B23" s="244"/>
      <c r="C23" s="245" t="s">
        <v>195</v>
      </c>
      <c r="D23" s="245"/>
      <c r="E23" s="246">
        <v>7.0000000000000007E-2</v>
      </c>
      <c r="F23" s="247">
        <v>1.29</v>
      </c>
      <c r="G23" s="248">
        <v>1.59</v>
      </c>
      <c r="H23" s="248">
        <v>1.49</v>
      </c>
      <c r="I23" s="248">
        <v>1.1599999999999999</v>
      </c>
      <c r="J23" s="249">
        <v>0.91</v>
      </c>
      <c r="K23" s="231"/>
      <c r="L23" s="250">
        <f t="shared" si="4"/>
        <v>0.23255813953488369</v>
      </c>
      <c r="M23" s="251">
        <f t="shared" si="4"/>
        <v>-6.2893081761006386E-2</v>
      </c>
      <c r="N23" s="251">
        <f t="shared" si="4"/>
        <v>-0.22147651006711411</v>
      </c>
      <c r="O23" s="252">
        <f t="shared" si="4"/>
        <v>-0.21551724137931028</v>
      </c>
      <c r="Q23" s="151">
        <f t="shared" si="1"/>
        <v>-6.7410897331005692E-2</v>
      </c>
    </row>
    <row r="24" spans="2:17" x14ac:dyDescent="0.35">
      <c r="L24" s="166"/>
    </row>
    <row r="25" spans="2:17" x14ac:dyDescent="0.35">
      <c r="L25" s="166"/>
      <c r="Q25" s="253">
        <f>SUM(Q7:Q23)</f>
        <v>0.42543047538068712</v>
      </c>
    </row>
  </sheetData>
  <conditionalFormatting sqref="L7:O2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7:Q23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90" verticalDpi="9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CF6E5B3D-18D5-41BD-81E4-198BDC16B1D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'Time series'!F7:J7</xm:f>
              <xm:sqref>S7</xm:sqref>
            </x14:sparkline>
            <x14:sparkline>
              <xm:f>'Time series'!F8:J8</xm:f>
              <xm:sqref>S8</xm:sqref>
            </x14:sparkline>
            <x14:sparkline>
              <xm:f>'Time series'!F9:J9</xm:f>
              <xm:sqref>S9</xm:sqref>
            </x14:sparkline>
            <x14:sparkline>
              <xm:f>'Time series'!F10:J10</xm:f>
              <xm:sqref>S10</xm:sqref>
            </x14:sparkline>
            <x14:sparkline>
              <xm:f>'Time series'!F11:J11</xm:f>
              <xm:sqref>S11</xm:sqref>
            </x14:sparkline>
            <x14:sparkline>
              <xm:f>'Time series'!F12:J12</xm:f>
              <xm:sqref>S12</xm:sqref>
            </x14:sparkline>
            <x14:sparkline>
              <xm:f>'Time series'!F13:J13</xm:f>
              <xm:sqref>S13</xm:sqref>
            </x14:sparkline>
            <x14:sparkline>
              <xm:f>'Time series'!F14:J14</xm:f>
              <xm:sqref>S14</xm:sqref>
            </x14:sparkline>
            <x14:sparkline>
              <xm:f>'Time series'!F15:J15</xm:f>
              <xm:sqref>S15</xm:sqref>
            </x14:sparkline>
            <x14:sparkline>
              <xm:f>'Time series'!F16:J16</xm:f>
              <xm:sqref>S16</xm:sqref>
            </x14:sparkline>
            <x14:sparkline>
              <xm:f>'Time series'!F17:J17</xm:f>
              <xm:sqref>S17</xm:sqref>
            </x14:sparkline>
            <x14:sparkline>
              <xm:f>'Time series'!F18:J18</xm:f>
              <xm:sqref>S18</xm:sqref>
            </x14:sparkline>
            <x14:sparkline>
              <xm:f>'Time series'!F19:J19</xm:f>
              <xm:sqref>S19</xm:sqref>
            </x14:sparkline>
            <x14:sparkline>
              <xm:f>'Time series'!F20:J20</xm:f>
              <xm:sqref>S20</xm:sqref>
            </x14:sparkline>
            <x14:sparkline>
              <xm:f>'Time series'!F21:J21</xm:f>
              <xm:sqref>S21</xm:sqref>
            </x14:sparkline>
            <x14:sparkline>
              <xm:f>'Time series'!F22:J22</xm:f>
              <xm:sqref>S22</xm:sqref>
            </x14:sparkline>
            <x14:sparkline>
              <xm:f>'Time series'!F23:J23</xm:f>
              <xm:sqref>S23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674DE-2E4C-41CF-ABF8-583C2941C4C3}">
  <sheetPr codeName="Sheet14"/>
  <dimension ref="B2:I24"/>
  <sheetViews>
    <sheetView workbookViewId="0">
      <selection activeCell="H12" sqref="H12"/>
    </sheetView>
  </sheetViews>
  <sheetFormatPr defaultColWidth="15.26953125" defaultRowHeight="14.5" x14ac:dyDescent="0.35"/>
  <cols>
    <col min="1" max="1" width="5.54296875" style="1" customWidth="1"/>
    <col min="2" max="7" width="15.26953125" style="1"/>
    <col min="8" max="8" width="15.453125" style="1" customWidth="1"/>
    <col min="9" max="16384" width="15.26953125" style="1"/>
  </cols>
  <sheetData>
    <row r="2" spans="2:9" ht="37" x14ac:dyDescent="1.05">
      <c r="C2" s="254" t="s">
        <v>196</v>
      </c>
      <c r="D2" s="255"/>
      <c r="E2" s="255"/>
    </row>
    <row r="3" spans="2:9" ht="15" thickBot="1" x14ac:dyDescent="0.4">
      <c r="B3" s="318"/>
      <c r="C3" s="318"/>
      <c r="D3" s="318"/>
      <c r="E3" s="318"/>
      <c r="F3" s="318"/>
      <c r="G3" s="318"/>
      <c r="H3" s="318"/>
    </row>
    <row r="4" spans="2:9" ht="34.5" thickTop="1" x14ac:dyDescent="0.5">
      <c r="B4" s="332" t="s">
        <v>177</v>
      </c>
      <c r="C4" s="88" t="s">
        <v>178</v>
      </c>
      <c r="D4" s="88" t="s">
        <v>179</v>
      </c>
      <c r="E4" s="92" t="s">
        <v>180</v>
      </c>
      <c r="F4" s="333" t="s">
        <v>197</v>
      </c>
      <c r="G4" s="89" t="s">
        <v>198</v>
      </c>
      <c r="H4" s="319" t="s">
        <v>199</v>
      </c>
    </row>
    <row r="5" spans="2:9" ht="34" x14ac:dyDescent="0.5">
      <c r="B5" s="334" t="s">
        <v>181</v>
      </c>
      <c r="C5" s="320"/>
      <c r="D5" s="321">
        <v>0.55000000000000004</v>
      </c>
      <c r="E5" s="322"/>
      <c r="F5" s="318"/>
      <c r="G5" s="96"/>
      <c r="H5" s="318"/>
      <c r="I5" s="331"/>
    </row>
    <row r="6" spans="2:9" x14ac:dyDescent="0.35">
      <c r="B6" s="95"/>
      <c r="C6" s="323" t="s">
        <v>182</v>
      </c>
      <c r="D6" s="318"/>
      <c r="E6" s="324">
        <v>0.04</v>
      </c>
      <c r="F6" s="318">
        <v>55.65</v>
      </c>
      <c r="G6" s="335">
        <v>44.24</v>
      </c>
      <c r="H6" s="347" t="str">
        <f>_xlfn.IFS(F6&gt;G6,"Under Performer",G6&gt;F6,"Out Performer")</f>
        <v>Under Performer</v>
      </c>
      <c r="I6" s="331"/>
    </row>
    <row r="7" spans="2:9" x14ac:dyDescent="0.35">
      <c r="B7" s="95"/>
      <c r="C7" s="323" t="s">
        <v>183</v>
      </c>
      <c r="D7" s="318"/>
      <c r="E7" s="324">
        <v>0.2</v>
      </c>
      <c r="F7" s="325">
        <v>0.3765</v>
      </c>
      <c r="G7" s="336">
        <v>0.5302</v>
      </c>
      <c r="H7" s="348" t="str">
        <f t="shared" ref="H7:H22" si="0">_xlfn.IFS(F7&gt;G7,"Under Performer",G7&gt;F7,"Out Performer")</f>
        <v>Out Performer</v>
      </c>
      <c r="I7" s="331"/>
    </row>
    <row r="8" spans="2:9" x14ac:dyDescent="0.35">
      <c r="B8" s="95"/>
      <c r="C8" s="323" t="s">
        <v>184</v>
      </c>
      <c r="D8" s="318"/>
      <c r="E8" s="324">
        <v>0.15</v>
      </c>
      <c r="F8" s="325">
        <v>0.50960000000000005</v>
      </c>
      <c r="G8" s="336">
        <v>0.60589999999999999</v>
      </c>
      <c r="H8" s="348" t="str">
        <f t="shared" si="0"/>
        <v>Out Performer</v>
      </c>
      <c r="I8" s="331"/>
    </row>
    <row r="9" spans="2:9" x14ac:dyDescent="0.35">
      <c r="B9" s="95"/>
      <c r="C9" s="323" t="s">
        <v>185</v>
      </c>
      <c r="D9" s="318"/>
      <c r="E9" s="324">
        <v>0.08</v>
      </c>
      <c r="F9" s="325">
        <v>0.21829999999999999</v>
      </c>
      <c r="G9" s="336">
        <v>0.23730000000000001</v>
      </c>
      <c r="H9" s="348" t="str">
        <f t="shared" si="0"/>
        <v>Out Performer</v>
      </c>
      <c r="I9" s="331"/>
    </row>
    <row r="10" spans="2:9" x14ac:dyDescent="0.35">
      <c r="B10" s="95"/>
      <c r="C10" s="322" t="s">
        <v>186</v>
      </c>
      <c r="D10" s="318"/>
      <c r="E10" s="324">
        <v>0.08</v>
      </c>
      <c r="F10" s="325">
        <v>0.19170000000000001</v>
      </c>
      <c r="G10" s="337">
        <v>0.14080000000000001</v>
      </c>
      <c r="H10" s="347" t="str">
        <f t="shared" si="0"/>
        <v>Under Performer</v>
      </c>
      <c r="I10" s="331"/>
    </row>
    <row r="11" spans="2:9" x14ac:dyDescent="0.35">
      <c r="B11" s="338"/>
      <c r="C11" s="322"/>
      <c r="D11" s="322"/>
      <c r="E11" s="323"/>
      <c r="F11" s="318"/>
      <c r="G11" s="339"/>
      <c r="H11" s="346"/>
      <c r="I11" s="331"/>
    </row>
    <row r="12" spans="2:9" ht="17" x14ac:dyDescent="0.5">
      <c r="B12" s="340" t="s">
        <v>187</v>
      </c>
      <c r="C12" s="326"/>
      <c r="D12" s="321">
        <v>0.15</v>
      </c>
      <c r="E12" s="323"/>
      <c r="F12" s="318"/>
      <c r="G12" s="339"/>
      <c r="H12" s="346"/>
      <c r="I12" s="331"/>
    </row>
    <row r="13" spans="2:9" x14ac:dyDescent="0.35">
      <c r="B13" s="95"/>
      <c r="C13" s="322" t="s">
        <v>188</v>
      </c>
      <c r="D13" s="322"/>
      <c r="E13" s="324">
        <v>0.08</v>
      </c>
      <c r="F13" s="325">
        <v>1.3948</v>
      </c>
      <c r="G13" s="341">
        <v>0.2366</v>
      </c>
      <c r="H13" s="347" t="str">
        <f t="shared" si="0"/>
        <v>Under Performer</v>
      </c>
      <c r="I13" s="331"/>
    </row>
    <row r="14" spans="2:9" x14ac:dyDescent="0.35">
      <c r="B14" s="95"/>
      <c r="C14" s="318" t="s">
        <v>189</v>
      </c>
      <c r="D14" s="318"/>
      <c r="E14" s="327">
        <v>7.0000000000000007E-2</v>
      </c>
      <c r="F14" s="318">
        <v>0.113</v>
      </c>
      <c r="G14" s="342">
        <v>0.59</v>
      </c>
      <c r="H14" s="348" t="str">
        <f t="shared" si="0"/>
        <v>Out Performer</v>
      </c>
      <c r="I14" s="331"/>
    </row>
    <row r="15" spans="2:9" x14ac:dyDescent="0.35">
      <c r="B15" s="95"/>
      <c r="C15" s="318"/>
      <c r="D15" s="318"/>
      <c r="E15" s="328"/>
      <c r="F15" s="318"/>
      <c r="G15" s="96"/>
      <c r="H15" s="346"/>
      <c r="I15" s="331"/>
    </row>
    <row r="16" spans="2:9" ht="17" x14ac:dyDescent="0.5">
      <c r="B16" s="340" t="s">
        <v>190</v>
      </c>
      <c r="C16" s="326"/>
      <c r="D16" s="329">
        <v>0.2</v>
      </c>
      <c r="E16" s="328"/>
      <c r="F16" s="318"/>
      <c r="G16" s="96"/>
      <c r="H16" s="346"/>
      <c r="I16" s="331"/>
    </row>
    <row r="17" spans="2:9" x14ac:dyDescent="0.35">
      <c r="B17" s="95"/>
      <c r="C17" s="318" t="s">
        <v>191</v>
      </c>
      <c r="D17" s="329"/>
      <c r="E17" s="327">
        <v>0.1</v>
      </c>
      <c r="F17" s="318">
        <v>11.12</v>
      </c>
      <c r="G17" s="339">
        <v>12.04</v>
      </c>
      <c r="H17" s="348" t="str">
        <f t="shared" si="0"/>
        <v>Out Performer</v>
      </c>
      <c r="I17" s="331"/>
    </row>
    <row r="18" spans="2:9" ht="42.5" x14ac:dyDescent="0.35">
      <c r="B18" s="95"/>
      <c r="C18" s="330" t="s">
        <v>192</v>
      </c>
      <c r="D18" s="318"/>
      <c r="E18" s="324">
        <v>0.1</v>
      </c>
      <c r="F18" s="325">
        <v>1.2625999999999999</v>
      </c>
      <c r="G18" s="343">
        <v>1.6402000000000001</v>
      </c>
      <c r="H18" s="348" t="str">
        <f t="shared" si="0"/>
        <v>Out Performer</v>
      </c>
      <c r="I18" s="331"/>
    </row>
    <row r="19" spans="2:9" x14ac:dyDescent="0.35">
      <c r="B19" s="95"/>
      <c r="C19" s="318"/>
      <c r="D19" s="318"/>
      <c r="E19" s="328"/>
      <c r="F19" s="318"/>
      <c r="G19" s="96"/>
      <c r="H19" s="346"/>
      <c r="I19" s="331"/>
    </row>
    <row r="20" spans="2:9" ht="17" x14ac:dyDescent="0.5">
      <c r="B20" s="340" t="s">
        <v>193</v>
      </c>
      <c r="C20" s="326"/>
      <c r="D20" s="329">
        <v>0.1</v>
      </c>
      <c r="E20" s="328"/>
      <c r="F20" s="318"/>
      <c r="G20" s="96"/>
      <c r="H20" s="346"/>
      <c r="I20" s="331"/>
    </row>
    <row r="21" spans="2:9" x14ac:dyDescent="0.35">
      <c r="B21" s="95"/>
      <c r="C21" s="318" t="s">
        <v>194</v>
      </c>
      <c r="D21" s="318"/>
      <c r="E21" s="327">
        <v>0.05</v>
      </c>
      <c r="F21" s="318">
        <v>1.58</v>
      </c>
      <c r="G21" s="339">
        <v>1.21</v>
      </c>
      <c r="H21" s="347" t="str">
        <f t="shared" si="0"/>
        <v>Under Performer</v>
      </c>
      <c r="I21" s="331"/>
    </row>
    <row r="22" spans="2:9" ht="15" thickBot="1" x14ac:dyDescent="0.4">
      <c r="B22" s="125"/>
      <c r="C22" s="126" t="s">
        <v>195</v>
      </c>
      <c r="D22" s="126"/>
      <c r="E22" s="344">
        <v>0.05</v>
      </c>
      <c r="F22" s="126">
        <v>1.0900000000000001</v>
      </c>
      <c r="G22" s="345">
        <v>0.91</v>
      </c>
      <c r="H22" s="347" t="str">
        <f t="shared" si="0"/>
        <v>Under Performer</v>
      </c>
      <c r="I22" s="331"/>
    </row>
    <row r="23" spans="2:9" ht="15.5" thickTop="1" thickBot="1" x14ac:dyDescent="0.4">
      <c r="D23" s="24">
        <f>SUM(D5:D21)</f>
        <v>1.0000000000000002</v>
      </c>
      <c r="E23" s="24">
        <f>SUM(E6:E22)</f>
        <v>1</v>
      </c>
      <c r="F23" s="1">
        <f>SUMPRODUCT(E6:E22,F6:F22)</f>
        <v>3.9017939999999998</v>
      </c>
      <c r="G23" s="1">
        <f>SUMPRODUCT(E6:E22,G6:G22)</f>
        <v>3.5310210000000004</v>
      </c>
      <c r="H23" s="349" t="s">
        <v>236</v>
      </c>
      <c r="I23" s="331"/>
    </row>
    <row r="24" spans="2:9" ht="15" thickTop="1" x14ac:dyDescent="0.35">
      <c r="B24" s="302"/>
      <c r="C24" s="302"/>
      <c r="D24" s="302"/>
      <c r="E24" s="302"/>
      <c r="F24" s="302"/>
      <c r="G24" s="302"/>
      <c r="H24" s="302"/>
    </row>
  </sheetData>
  <conditionalFormatting sqref="H6:H22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90" verticalDpi="9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C6D6E-23CE-472F-9F69-8E3962F1CBA9}">
  <sheetPr codeName="Sheet16"/>
  <dimension ref="A1:R12"/>
  <sheetViews>
    <sheetView workbookViewId="0">
      <selection activeCell="H7" sqref="H7:L11"/>
    </sheetView>
  </sheetViews>
  <sheetFormatPr defaultRowHeight="14.5" x14ac:dyDescent="0.35"/>
  <cols>
    <col min="1" max="1" width="4.453125" style="1" customWidth="1"/>
    <col min="2" max="5" width="8.7265625" style="1"/>
    <col min="6" max="6" width="10.26953125" style="1" customWidth="1"/>
    <col min="7" max="10" width="8.7265625" style="1"/>
    <col min="11" max="11" width="8.90625" style="1" bestFit="1" customWidth="1"/>
    <col min="12" max="14" width="8.7265625" style="1"/>
    <col min="15" max="15" width="10.26953125" style="1" customWidth="1"/>
    <col min="16" max="16384" width="8.7265625" style="1"/>
  </cols>
  <sheetData>
    <row r="1" spans="1:18" x14ac:dyDescent="0.35">
      <c r="A1" s="1" t="s">
        <v>228</v>
      </c>
    </row>
    <row r="3" spans="1:18" ht="37" x14ac:dyDescent="1.05">
      <c r="F3" s="279" t="s">
        <v>229</v>
      </c>
      <c r="G3" s="280"/>
      <c r="H3" s="255"/>
      <c r="I3" s="157"/>
      <c r="J3" s="157"/>
      <c r="K3" s="157"/>
      <c r="L3" s="157"/>
    </row>
    <row r="5" spans="1:18" ht="15.5" x14ac:dyDescent="0.35">
      <c r="F5" s="1" t="s">
        <v>230</v>
      </c>
      <c r="G5" s="281" t="s">
        <v>231</v>
      </c>
      <c r="H5" s="282"/>
      <c r="I5" s="282"/>
    </row>
    <row r="6" spans="1:18" ht="15" thickBot="1" x14ac:dyDescent="0.4"/>
    <row r="7" spans="1:18" ht="22.5" thickTop="1" x14ac:dyDescent="0.65">
      <c r="B7" s="283" t="s">
        <v>232</v>
      </c>
      <c r="C7" s="284"/>
      <c r="D7" s="285"/>
      <c r="E7" s="286"/>
      <c r="F7" s="287"/>
      <c r="H7" s="288" t="s">
        <v>196</v>
      </c>
      <c r="I7" s="289"/>
      <c r="J7" s="290"/>
      <c r="K7" s="291"/>
      <c r="L7" s="292"/>
      <c r="M7" s="293"/>
      <c r="N7" s="294" t="s">
        <v>233</v>
      </c>
      <c r="O7" s="289"/>
      <c r="P7" s="295"/>
      <c r="Q7" s="295"/>
      <c r="R7" s="292"/>
    </row>
    <row r="8" spans="1:18" ht="19" thickBot="1" x14ac:dyDescent="0.5">
      <c r="B8" s="296"/>
      <c r="C8" s="297"/>
      <c r="D8" s="297"/>
      <c r="E8" s="297"/>
      <c r="F8" s="298"/>
      <c r="H8" s="299"/>
      <c r="I8" s="133"/>
      <c r="J8" s="133"/>
      <c r="K8" s="133"/>
      <c r="L8" s="300"/>
      <c r="N8" s="299"/>
      <c r="O8" s="133"/>
      <c r="P8" s="133"/>
      <c r="Q8" s="133"/>
      <c r="R8" s="300"/>
    </row>
    <row r="9" spans="1:18" ht="15" thickTop="1" x14ac:dyDescent="0.35">
      <c r="B9" s="95"/>
      <c r="F9" s="96"/>
      <c r="H9" s="95"/>
      <c r="L9" s="96"/>
      <c r="N9" s="301"/>
      <c r="O9" s="302"/>
      <c r="P9" s="302"/>
      <c r="Q9" s="302"/>
      <c r="R9" s="303"/>
    </row>
    <row r="10" spans="1:18" ht="28" x14ac:dyDescent="0.8">
      <c r="B10" s="304" t="s">
        <v>234</v>
      </c>
      <c r="C10" s="305"/>
      <c r="D10" s="305"/>
      <c r="E10" s="306">
        <v>0.58440000000000003</v>
      </c>
      <c r="F10" s="307"/>
      <c r="H10" s="304" t="s">
        <v>234</v>
      </c>
      <c r="I10" s="308"/>
      <c r="J10" s="308"/>
      <c r="K10" s="309">
        <v>3.9</v>
      </c>
      <c r="L10" s="307"/>
      <c r="N10" s="310"/>
      <c r="O10" s="311" t="s">
        <v>235</v>
      </c>
      <c r="P10" s="312"/>
      <c r="Q10" s="312"/>
      <c r="R10" s="313"/>
    </row>
    <row r="11" spans="1:18" ht="15" thickBot="1" x14ac:dyDescent="0.4">
      <c r="B11" s="314" t="s">
        <v>231</v>
      </c>
      <c r="C11" s="315"/>
      <c r="D11" s="315"/>
      <c r="E11" s="316">
        <v>0.43</v>
      </c>
      <c r="F11" s="127"/>
      <c r="H11" s="314" t="s">
        <v>231</v>
      </c>
      <c r="I11" s="315"/>
      <c r="J11" s="315"/>
      <c r="K11" s="317">
        <v>3.53</v>
      </c>
      <c r="L11" s="127"/>
      <c r="N11" s="125"/>
      <c r="O11" s="126"/>
      <c r="P11" s="126"/>
      <c r="Q11" s="126"/>
      <c r="R11" s="127"/>
    </row>
    <row r="12" spans="1:18" ht="15" thickTop="1" x14ac:dyDescent="0.35">
      <c r="E12" s="147"/>
      <c r="K12" s="147"/>
    </row>
  </sheetData>
  <pageMargins left="0.7" right="0.7" top="0.75" bottom="0.75" header="0.3" footer="0.3"/>
  <pageSetup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CC1E5-DA17-4B41-9F7A-4E25AC5E2D6B}">
  <sheetPr codeName="Sheet2"/>
  <dimension ref="A1:R103"/>
  <sheetViews>
    <sheetView topLeftCell="A4" workbookViewId="0">
      <selection activeCell="G3" sqref="G3"/>
    </sheetView>
  </sheetViews>
  <sheetFormatPr defaultRowHeight="14.5" x14ac:dyDescent="0.35"/>
  <sheetData>
    <row r="1" spans="1:18" ht="18" x14ac:dyDescent="0.35">
      <c r="A1" s="256" t="s">
        <v>200</v>
      </c>
      <c r="B1" s="256" t="s">
        <v>201</v>
      </c>
      <c r="C1" s="256" t="s">
        <v>182</v>
      </c>
      <c r="D1" s="256" t="s">
        <v>202</v>
      </c>
      <c r="E1" s="256" t="s">
        <v>203</v>
      </c>
      <c r="G1" s="256" t="s">
        <v>204</v>
      </c>
      <c r="H1" s="256" t="s">
        <v>201</v>
      </c>
      <c r="I1" s="256" t="s">
        <v>205</v>
      </c>
      <c r="J1" s="256" t="s">
        <v>202</v>
      </c>
      <c r="K1" s="256"/>
      <c r="L1" s="256" t="s">
        <v>203</v>
      </c>
      <c r="N1" s="256" t="s">
        <v>204</v>
      </c>
      <c r="O1" s="256" t="s">
        <v>201</v>
      </c>
      <c r="P1" s="256" t="s">
        <v>206</v>
      </c>
      <c r="Q1" s="256" t="s">
        <v>202</v>
      </c>
      <c r="R1" s="256" t="s">
        <v>203</v>
      </c>
    </row>
    <row r="2" spans="1:18" x14ac:dyDescent="0.35">
      <c r="A2" s="257">
        <v>1</v>
      </c>
      <c r="B2" s="256" t="s">
        <v>207</v>
      </c>
      <c r="C2" s="257">
        <v>68.8</v>
      </c>
      <c r="D2" s="257">
        <v>8</v>
      </c>
      <c r="E2" s="257">
        <v>3</v>
      </c>
      <c r="G2" s="257">
        <v>1</v>
      </c>
      <c r="H2" s="256" t="s">
        <v>207</v>
      </c>
      <c r="I2" s="258">
        <v>1.0900000000000001</v>
      </c>
      <c r="J2" s="257">
        <v>1</v>
      </c>
      <c r="K2" s="257"/>
      <c r="L2" s="257">
        <v>10</v>
      </c>
      <c r="N2" s="257">
        <v>1</v>
      </c>
      <c r="O2" s="256" t="s">
        <v>207</v>
      </c>
      <c r="P2" s="258">
        <v>0.77569999999999995</v>
      </c>
      <c r="Q2" s="257">
        <v>1</v>
      </c>
      <c r="R2" s="257">
        <v>10</v>
      </c>
    </row>
    <row r="3" spans="1:18" x14ac:dyDescent="0.35">
      <c r="A3" s="257">
        <v>2</v>
      </c>
      <c r="B3" s="256" t="s">
        <v>208</v>
      </c>
      <c r="C3" s="257">
        <v>29.31</v>
      </c>
      <c r="D3" s="257">
        <v>1</v>
      </c>
      <c r="E3" s="257">
        <v>10</v>
      </c>
      <c r="G3" s="257">
        <v>2</v>
      </c>
      <c r="H3" s="256" t="s">
        <v>208</v>
      </c>
      <c r="I3" s="258">
        <v>0.34210000000000002</v>
      </c>
      <c r="J3" s="257">
        <v>7</v>
      </c>
      <c r="K3" s="257"/>
      <c r="L3" s="257">
        <v>4</v>
      </c>
      <c r="N3" s="257">
        <v>2</v>
      </c>
      <c r="O3" s="256" t="s">
        <v>208</v>
      </c>
      <c r="P3" s="258">
        <v>0.22650000000000001</v>
      </c>
      <c r="Q3" s="257">
        <v>9</v>
      </c>
      <c r="R3" s="257">
        <v>2</v>
      </c>
    </row>
    <row r="4" spans="1:18" x14ac:dyDescent="0.35">
      <c r="A4" s="257">
        <v>3</v>
      </c>
      <c r="B4" s="256" t="s">
        <v>209</v>
      </c>
      <c r="C4" s="257">
        <v>67.17</v>
      </c>
      <c r="D4" s="257">
        <v>7</v>
      </c>
      <c r="E4" s="257">
        <v>4</v>
      </c>
      <c r="G4" s="257">
        <v>3</v>
      </c>
      <c r="H4" s="256" t="s">
        <v>209</v>
      </c>
      <c r="I4" s="258">
        <v>0.57040000000000002</v>
      </c>
      <c r="J4" s="257">
        <v>4</v>
      </c>
      <c r="K4" s="257"/>
      <c r="L4" s="257">
        <v>7</v>
      </c>
      <c r="N4" s="257">
        <v>3</v>
      </c>
      <c r="O4" s="256" t="s">
        <v>209</v>
      </c>
      <c r="P4" s="258">
        <v>0.36559999999999998</v>
      </c>
      <c r="Q4" s="257">
        <v>4</v>
      </c>
      <c r="R4" s="257">
        <v>7</v>
      </c>
    </row>
    <row r="5" spans="1:18" ht="18" x14ac:dyDescent="0.35">
      <c r="A5" s="257">
        <v>4</v>
      </c>
      <c r="B5" s="256" t="s">
        <v>210</v>
      </c>
      <c r="C5" s="257">
        <v>52.37</v>
      </c>
      <c r="D5" s="257">
        <v>4</v>
      </c>
      <c r="E5" s="257">
        <v>7</v>
      </c>
      <c r="G5" s="257">
        <v>4</v>
      </c>
      <c r="H5" s="256" t="s">
        <v>210</v>
      </c>
      <c r="I5" s="258">
        <v>0.2109</v>
      </c>
      <c r="J5" s="257">
        <v>10</v>
      </c>
      <c r="K5" s="257"/>
      <c r="L5" s="257">
        <v>1</v>
      </c>
      <c r="N5" s="257">
        <v>4</v>
      </c>
      <c r="O5" s="256" t="s">
        <v>210</v>
      </c>
      <c r="P5" s="258">
        <v>0.25459999999999999</v>
      </c>
      <c r="Q5" s="257">
        <v>8</v>
      </c>
      <c r="R5" s="257">
        <v>3</v>
      </c>
    </row>
    <row r="6" spans="1:18" x14ac:dyDescent="0.35">
      <c r="A6" s="257">
        <v>5</v>
      </c>
      <c r="B6" s="256" t="s">
        <v>211</v>
      </c>
      <c r="C6" s="257">
        <v>54.69</v>
      </c>
      <c r="D6" s="257">
        <v>5</v>
      </c>
      <c r="E6" s="257">
        <v>6</v>
      </c>
      <c r="G6" s="257">
        <v>5</v>
      </c>
      <c r="H6" s="256" t="s">
        <v>211</v>
      </c>
      <c r="I6" s="258">
        <v>0.28299999999999997</v>
      </c>
      <c r="J6" s="257">
        <v>9</v>
      </c>
      <c r="K6" s="257"/>
      <c r="L6" s="257">
        <v>2</v>
      </c>
      <c r="N6" s="257">
        <v>5</v>
      </c>
      <c r="O6" s="256" t="s">
        <v>211</v>
      </c>
      <c r="P6" s="258">
        <v>0.25929999999999997</v>
      </c>
      <c r="Q6" s="257">
        <v>7</v>
      </c>
      <c r="R6" s="257">
        <v>4</v>
      </c>
    </row>
    <row r="7" spans="1:18" x14ac:dyDescent="0.35">
      <c r="A7" s="257">
        <v>6</v>
      </c>
      <c r="B7" s="256" t="s">
        <v>212</v>
      </c>
      <c r="C7" s="257">
        <v>69.239999999999995</v>
      </c>
      <c r="D7" s="257">
        <v>9</v>
      </c>
      <c r="E7" s="257">
        <v>2</v>
      </c>
      <c r="G7" s="257">
        <v>6</v>
      </c>
      <c r="H7" s="256" t="s">
        <v>212</v>
      </c>
      <c r="I7" s="258">
        <v>0.47470000000000001</v>
      </c>
      <c r="J7" s="257">
        <v>5</v>
      </c>
      <c r="K7" s="257"/>
      <c r="L7" s="257">
        <v>6</v>
      </c>
      <c r="N7" s="257">
        <v>6</v>
      </c>
      <c r="O7" s="256" t="s">
        <v>212</v>
      </c>
      <c r="P7" s="258">
        <v>0.32900000000000001</v>
      </c>
      <c r="Q7" s="257">
        <v>5</v>
      </c>
      <c r="R7" s="257">
        <v>6</v>
      </c>
    </row>
    <row r="8" spans="1:18" x14ac:dyDescent="0.35">
      <c r="A8" s="257">
        <v>7</v>
      </c>
      <c r="B8" s="256" t="s">
        <v>213</v>
      </c>
      <c r="C8" s="257">
        <v>54.89</v>
      </c>
      <c r="D8" s="257">
        <v>6</v>
      </c>
      <c r="E8" s="257">
        <v>5</v>
      </c>
      <c r="G8" s="257">
        <v>7</v>
      </c>
      <c r="H8" s="256" t="s">
        <v>213</v>
      </c>
      <c r="I8" s="258">
        <v>0.39489999999999997</v>
      </c>
      <c r="J8" s="257">
        <v>6</v>
      </c>
      <c r="K8" s="257"/>
      <c r="L8" s="257">
        <v>5</v>
      </c>
      <c r="N8" s="257">
        <v>7</v>
      </c>
      <c r="O8" s="256" t="s">
        <v>213</v>
      </c>
      <c r="P8" s="258">
        <v>0.31490000000000001</v>
      </c>
      <c r="Q8" s="257">
        <v>6</v>
      </c>
      <c r="R8" s="257">
        <v>5</v>
      </c>
    </row>
    <row r="9" spans="1:18" x14ac:dyDescent="0.35">
      <c r="A9" s="257">
        <v>8</v>
      </c>
      <c r="B9" s="256" t="s">
        <v>214</v>
      </c>
      <c r="C9" s="257">
        <v>48.8</v>
      </c>
      <c r="D9" s="257">
        <v>3</v>
      </c>
      <c r="E9" s="257">
        <v>8</v>
      </c>
      <c r="G9" s="257">
        <v>8</v>
      </c>
      <c r="H9" s="256" t="s">
        <v>214</v>
      </c>
      <c r="I9" s="258">
        <v>0.71099999999999997</v>
      </c>
      <c r="J9" s="257">
        <v>3</v>
      </c>
      <c r="K9" s="257"/>
      <c r="L9" s="257">
        <v>8</v>
      </c>
      <c r="N9" s="257">
        <v>8</v>
      </c>
      <c r="O9" s="256" t="s">
        <v>214</v>
      </c>
      <c r="P9" s="258">
        <v>0.48670000000000002</v>
      </c>
      <c r="Q9" s="257">
        <v>3</v>
      </c>
      <c r="R9" s="257">
        <v>8</v>
      </c>
    </row>
    <row r="10" spans="1:18" ht="18" x14ac:dyDescent="0.35">
      <c r="A10" s="257">
        <v>9</v>
      </c>
      <c r="B10" s="256" t="s">
        <v>215</v>
      </c>
      <c r="C10" s="257"/>
      <c r="D10" s="257">
        <v>2</v>
      </c>
      <c r="E10" s="257">
        <v>9</v>
      </c>
      <c r="G10" s="257">
        <v>9</v>
      </c>
      <c r="H10" s="256" t="s">
        <v>215</v>
      </c>
      <c r="I10" s="258"/>
      <c r="J10" s="257">
        <v>8</v>
      </c>
      <c r="K10" s="257"/>
      <c r="L10" s="257">
        <v>3</v>
      </c>
      <c r="N10" s="257">
        <v>9</v>
      </c>
      <c r="O10" s="256" t="s">
        <v>215</v>
      </c>
      <c r="P10" s="258"/>
      <c r="Q10" s="257">
        <v>10</v>
      </c>
      <c r="R10" s="257">
        <v>1</v>
      </c>
    </row>
    <row r="11" spans="1:18" x14ac:dyDescent="0.35">
      <c r="A11" s="257">
        <v>10</v>
      </c>
      <c r="B11" s="256" t="s">
        <v>216</v>
      </c>
      <c r="C11" s="257"/>
      <c r="D11" s="259"/>
      <c r="E11" s="259"/>
      <c r="G11" s="257">
        <v>10</v>
      </c>
      <c r="H11" s="256" t="s">
        <v>216</v>
      </c>
      <c r="I11" s="258"/>
      <c r="J11" s="257">
        <v>2</v>
      </c>
      <c r="K11" s="257"/>
      <c r="L11" s="257">
        <v>9</v>
      </c>
      <c r="N11" s="257">
        <v>10</v>
      </c>
      <c r="O11" s="256" t="s">
        <v>216</v>
      </c>
      <c r="P11" s="258"/>
      <c r="Q11" s="257">
        <v>2</v>
      </c>
      <c r="R11" s="257">
        <v>9</v>
      </c>
    </row>
    <row r="13" spans="1:18" x14ac:dyDescent="0.35">
      <c r="C13">
        <f>AVERAGE(C2:C11)</f>
        <v>55.658750000000005</v>
      </c>
      <c r="P13" s="260">
        <f>AVERAGE(P2:P11)</f>
        <v>0.37653750000000002</v>
      </c>
    </row>
    <row r="14" spans="1:18" x14ac:dyDescent="0.35">
      <c r="I14" s="260">
        <f>AVERAGE(I2:I11)</f>
        <v>0.50962499999999999</v>
      </c>
    </row>
    <row r="18" spans="1:16" ht="18" x14ac:dyDescent="0.35">
      <c r="C18" s="256" t="s">
        <v>200</v>
      </c>
      <c r="D18" s="256" t="s">
        <v>201</v>
      </c>
      <c r="E18" s="256" t="s">
        <v>217</v>
      </c>
      <c r="F18" s="256" t="s">
        <v>202</v>
      </c>
      <c r="G18" s="256" t="s">
        <v>203</v>
      </c>
      <c r="L18" s="256" t="s">
        <v>201</v>
      </c>
      <c r="M18" t="s">
        <v>185</v>
      </c>
      <c r="O18" s="256" t="s">
        <v>201</v>
      </c>
      <c r="P18" t="s">
        <v>186</v>
      </c>
    </row>
    <row r="19" spans="1:16" x14ac:dyDescent="0.35">
      <c r="C19" s="257">
        <v>1</v>
      </c>
      <c r="D19" s="256" t="s">
        <v>207</v>
      </c>
      <c r="E19" s="257">
        <v>0</v>
      </c>
      <c r="F19" s="257">
        <v>1</v>
      </c>
      <c r="G19" s="257">
        <v>10</v>
      </c>
      <c r="L19" s="256" t="s">
        <v>207</v>
      </c>
      <c r="M19" s="261">
        <v>0.1162</v>
      </c>
      <c r="O19" s="256" t="s">
        <v>207</v>
      </c>
      <c r="P19" s="262">
        <v>0.1729</v>
      </c>
    </row>
    <row r="20" spans="1:16" ht="15" thickBot="1" x14ac:dyDescent="0.4">
      <c r="C20" s="257">
        <v>2</v>
      </c>
      <c r="D20" s="256" t="s">
        <v>208</v>
      </c>
      <c r="E20" s="257">
        <v>0</v>
      </c>
      <c r="F20" s="257">
        <v>1</v>
      </c>
      <c r="G20" s="257">
        <v>10</v>
      </c>
      <c r="L20" s="256" t="s">
        <v>208</v>
      </c>
      <c r="M20" s="260">
        <v>0.182</v>
      </c>
      <c r="O20" s="256" t="s">
        <v>208</v>
      </c>
      <c r="P20" s="263">
        <v>0.28649999999999998</v>
      </c>
    </row>
    <row r="21" spans="1:16" ht="15" thickBot="1" x14ac:dyDescent="0.4">
      <c r="C21" s="257">
        <v>3</v>
      </c>
      <c r="D21" s="256" t="s">
        <v>209</v>
      </c>
      <c r="E21" s="257">
        <v>0.01</v>
      </c>
      <c r="F21" s="257">
        <v>2</v>
      </c>
      <c r="G21" s="257">
        <v>9</v>
      </c>
      <c r="L21" s="256" t="s">
        <v>209</v>
      </c>
      <c r="M21" s="264">
        <v>0.2636</v>
      </c>
      <c r="O21" s="256" t="s">
        <v>209</v>
      </c>
      <c r="P21" s="263">
        <v>0.15590000000000001</v>
      </c>
    </row>
    <row r="22" spans="1:16" ht="18.5" thickBot="1" x14ac:dyDescent="0.4">
      <c r="C22" s="257">
        <v>4</v>
      </c>
      <c r="D22" s="256" t="s">
        <v>210</v>
      </c>
      <c r="E22" s="257">
        <v>0.56000000000000005</v>
      </c>
      <c r="F22" s="257">
        <v>6</v>
      </c>
      <c r="G22" s="257">
        <v>5</v>
      </c>
      <c r="L22" s="256" t="s">
        <v>210</v>
      </c>
      <c r="M22" s="264">
        <v>0.159</v>
      </c>
      <c r="O22" s="256" t="s">
        <v>210</v>
      </c>
      <c r="P22" s="265">
        <v>0.19570000000000001</v>
      </c>
    </row>
    <row r="23" spans="1:16" x14ac:dyDescent="0.35">
      <c r="C23" s="257">
        <v>5</v>
      </c>
      <c r="D23" s="256" t="s">
        <v>211</v>
      </c>
      <c r="E23" s="257">
        <v>0.16</v>
      </c>
      <c r="F23" s="257">
        <v>5</v>
      </c>
      <c r="G23" s="257">
        <v>6</v>
      </c>
      <c r="L23" s="256" t="s">
        <v>211</v>
      </c>
      <c r="M23" s="261">
        <v>0.18410000000000001</v>
      </c>
      <c r="O23" s="256" t="s">
        <v>211</v>
      </c>
      <c r="P23" s="262">
        <v>0.1923</v>
      </c>
    </row>
    <row r="24" spans="1:16" ht="15" thickBot="1" x14ac:dyDescent="0.4">
      <c r="C24" s="257">
        <v>6</v>
      </c>
      <c r="D24" s="256" t="s">
        <v>212</v>
      </c>
      <c r="E24" s="257">
        <v>0.06</v>
      </c>
      <c r="F24" s="257">
        <v>3</v>
      </c>
      <c r="G24" s="257">
        <v>8</v>
      </c>
      <c r="I24" s="266">
        <v>310.56</v>
      </c>
      <c r="J24" s="266">
        <v>247.08</v>
      </c>
      <c r="L24" s="256" t="s">
        <v>212</v>
      </c>
      <c r="M24" s="260">
        <v>0.23730000000000001</v>
      </c>
      <c r="O24" s="256" t="s">
        <v>212</v>
      </c>
      <c r="P24" s="261">
        <v>0.1421</v>
      </c>
    </row>
    <row r="25" spans="1:16" ht="15" thickBot="1" x14ac:dyDescent="0.4">
      <c r="C25" s="257">
        <v>7</v>
      </c>
      <c r="D25" s="256" t="s">
        <v>213</v>
      </c>
      <c r="E25" s="257">
        <v>0.12</v>
      </c>
      <c r="F25" s="257">
        <v>4</v>
      </c>
      <c r="G25" s="257">
        <v>7</v>
      </c>
      <c r="L25" s="256" t="s">
        <v>213</v>
      </c>
      <c r="M25" s="264">
        <v>0.2467</v>
      </c>
      <c r="O25" s="256" t="s">
        <v>213</v>
      </c>
      <c r="P25" s="262">
        <v>0.17449999999999999</v>
      </c>
    </row>
    <row r="26" spans="1:16" x14ac:dyDescent="0.35">
      <c r="C26" s="257">
        <v>8</v>
      </c>
      <c r="D26" s="256" t="s">
        <v>214</v>
      </c>
      <c r="E26" s="257">
        <v>0</v>
      </c>
      <c r="F26" s="257">
        <v>1</v>
      </c>
      <c r="G26" s="257">
        <v>10</v>
      </c>
      <c r="L26" s="256" t="s">
        <v>214</v>
      </c>
      <c r="M26" s="261">
        <v>0.35770000000000002</v>
      </c>
      <c r="O26" s="256" t="s">
        <v>214</v>
      </c>
      <c r="P26" s="261">
        <v>0.21379999999999999</v>
      </c>
    </row>
    <row r="27" spans="1:16" ht="18" x14ac:dyDescent="0.35">
      <c r="C27" s="257">
        <v>9</v>
      </c>
      <c r="D27" s="256"/>
      <c r="E27" s="257"/>
      <c r="F27" s="257">
        <v>1</v>
      </c>
      <c r="G27" s="257">
        <v>10</v>
      </c>
      <c r="L27" s="256" t="s">
        <v>215</v>
      </c>
      <c r="M27" s="261"/>
      <c r="O27" s="256" t="s">
        <v>215</v>
      </c>
      <c r="P27" s="261"/>
    </row>
    <row r="28" spans="1:16" x14ac:dyDescent="0.35">
      <c r="A28" t="s">
        <v>218</v>
      </c>
      <c r="C28" s="257">
        <v>10</v>
      </c>
      <c r="D28" s="256"/>
      <c r="E28" s="257"/>
      <c r="F28" s="257">
        <v>1</v>
      </c>
      <c r="G28" s="257">
        <v>10</v>
      </c>
      <c r="L28" s="256" t="s">
        <v>216</v>
      </c>
      <c r="M28" s="261"/>
      <c r="O28" s="256" t="s">
        <v>216</v>
      </c>
      <c r="P28" s="261"/>
    </row>
    <row r="29" spans="1:16" x14ac:dyDescent="0.35">
      <c r="E29">
        <f>AVERAGE(E19:E28)</f>
        <v>0.11375</v>
      </c>
    </row>
    <row r="30" spans="1:16" ht="18.5" thickBot="1" x14ac:dyDescent="0.4">
      <c r="D30" s="256" t="s">
        <v>201</v>
      </c>
      <c r="E30" t="s">
        <v>219</v>
      </c>
      <c r="M30" s="260">
        <f>AVERAGE(M19:M28)</f>
        <v>0.21832499999999999</v>
      </c>
      <c r="P30" s="260">
        <f>AVERAGE(P19:P28)</f>
        <v>0.19171250000000001</v>
      </c>
    </row>
    <row r="31" spans="1:16" ht="15" thickBot="1" x14ac:dyDescent="0.4">
      <c r="D31" s="256"/>
      <c r="E31" s="267">
        <v>44256</v>
      </c>
      <c r="F31" s="267">
        <v>43891</v>
      </c>
      <c r="G31" s="267">
        <v>43525</v>
      </c>
      <c r="H31" s="267">
        <v>43160</v>
      </c>
      <c r="I31" s="267">
        <v>42795</v>
      </c>
      <c r="J31" s="268"/>
      <c r="K31" s="268"/>
      <c r="M31" s="260"/>
      <c r="P31" s="260"/>
    </row>
    <row r="32" spans="1:16" x14ac:dyDescent="0.35">
      <c r="D32" s="256" t="s">
        <v>207</v>
      </c>
      <c r="E32">
        <v>179.34</v>
      </c>
      <c r="F32">
        <v>283.19</v>
      </c>
      <c r="G32">
        <v>268.64</v>
      </c>
      <c r="H32">
        <v>80.430000000000007</v>
      </c>
      <c r="I32">
        <v>93.69</v>
      </c>
      <c r="J32" s="269">
        <f>_xlfn.RRI(5,I32,E32)</f>
        <v>0.13866713335379011</v>
      </c>
    </row>
    <row r="33" spans="4:18" x14ac:dyDescent="0.35">
      <c r="D33" s="256" t="s">
        <v>208</v>
      </c>
      <c r="E33" s="266">
        <v>310.56</v>
      </c>
      <c r="I33" s="266">
        <v>247.08</v>
      </c>
      <c r="J33" s="269">
        <f t="shared" ref="J33:J39" si="0">_xlfn.RRI(5,I33,E33)</f>
        <v>4.67948686458175E-2</v>
      </c>
    </row>
    <row r="34" spans="4:18" ht="15" thickBot="1" x14ac:dyDescent="0.4">
      <c r="D34" s="256" t="s">
        <v>209</v>
      </c>
      <c r="J34" s="269">
        <f t="shared" si="0"/>
        <v>0</v>
      </c>
    </row>
    <row r="35" spans="4:18" ht="18.5" thickBot="1" x14ac:dyDescent="0.4">
      <c r="D35" s="256" t="s">
        <v>210</v>
      </c>
      <c r="E35" s="270">
        <v>17.78</v>
      </c>
      <c r="F35" s="270">
        <v>9.4700000000000006</v>
      </c>
      <c r="G35" s="270">
        <v>9.17</v>
      </c>
      <c r="H35" s="270">
        <v>12.56</v>
      </c>
      <c r="I35" s="270">
        <v>12.61</v>
      </c>
      <c r="J35" s="269">
        <f t="shared" si="0"/>
        <v>7.113283853711283E-2</v>
      </c>
    </row>
    <row r="36" spans="4:18" ht="15" thickBot="1" x14ac:dyDescent="0.4">
      <c r="D36" s="256" t="s">
        <v>211</v>
      </c>
      <c r="E36" s="270">
        <v>67.77</v>
      </c>
      <c r="F36" s="270">
        <v>37.89</v>
      </c>
      <c r="G36" s="270">
        <v>31.2</v>
      </c>
      <c r="H36" s="270">
        <v>33.18</v>
      </c>
      <c r="I36" s="270">
        <v>30.81</v>
      </c>
      <c r="J36" s="269">
        <f t="shared" si="0"/>
        <v>0.1707634546013399</v>
      </c>
      <c r="K36" s="271"/>
      <c r="N36" s="256"/>
      <c r="O36" s="261"/>
    </row>
    <row r="37" spans="4:18" ht="15" thickBot="1" x14ac:dyDescent="0.4">
      <c r="D37" s="256" t="s">
        <v>212</v>
      </c>
      <c r="E37" s="270">
        <v>23.66</v>
      </c>
      <c r="F37" s="270">
        <v>25.2</v>
      </c>
      <c r="G37" s="270">
        <v>195.6</v>
      </c>
      <c r="H37" s="270">
        <v>201.05</v>
      </c>
      <c r="I37" s="270">
        <v>240.27</v>
      </c>
      <c r="J37" s="269">
        <f t="shared" si="0"/>
        <v>-0.37098205073136115</v>
      </c>
      <c r="N37" s="256"/>
      <c r="O37" s="261"/>
    </row>
    <row r="38" spans="4:18" ht="15" thickBot="1" x14ac:dyDescent="0.4">
      <c r="D38" s="256" t="s">
        <v>213</v>
      </c>
      <c r="E38" s="270">
        <v>45.47</v>
      </c>
      <c r="F38" s="270">
        <v>29.06</v>
      </c>
      <c r="G38" s="270">
        <v>32.450000000000003</v>
      </c>
      <c r="H38" s="270">
        <v>70.09</v>
      </c>
      <c r="I38" s="270">
        <v>70.34</v>
      </c>
      <c r="J38" s="269">
        <f t="shared" si="0"/>
        <v>-8.3558984169630701E-2</v>
      </c>
      <c r="K38" s="272"/>
      <c r="N38" s="256"/>
      <c r="O38" s="273"/>
    </row>
    <row r="39" spans="4:18" ht="15" thickBot="1" x14ac:dyDescent="0.4">
      <c r="D39" s="256" t="s">
        <v>214</v>
      </c>
      <c r="E39" s="270">
        <v>328.39</v>
      </c>
      <c r="F39" s="270">
        <v>225.05</v>
      </c>
      <c r="G39" s="270">
        <v>244.73</v>
      </c>
      <c r="H39" s="270">
        <v>200.36</v>
      </c>
      <c r="I39" s="270">
        <v>289.88</v>
      </c>
      <c r="J39" s="269">
        <f t="shared" si="0"/>
        <v>2.5260756108674842E-2</v>
      </c>
      <c r="K39" s="272"/>
      <c r="N39" s="256"/>
      <c r="O39" s="261"/>
    </row>
    <row r="40" spans="4:18" ht="15" thickBot="1" x14ac:dyDescent="0.4">
      <c r="D40" s="256"/>
      <c r="I40" s="256"/>
      <c r="J40" s="274">
        <f>AVERAGE(J32:J39)</f>
        <v>-2.4024795678208311E-4</v>
      </c>
      <c r="K40" s="271"/>
      <c r="N40" s="256"/>
      <c r="O40" s="275"/>
    </row>
    <row r="41" spans="4:18" ht="15" thickBot="1" x14ac:dyDescent="0.4">
      <c r="D41" s="256"/>
      <c r="I41" s="256"/>
      <c r="N41" s="256"/>
      <c r="O41" s="261"/>
    </row>
    <row r="42" spans="4:18" ht="15" thickBot="1" x14ac:dyDescent="0.4">
      <c r="I42" s="256"/>
      <c r="J42" s="272"/>
      <c r="K42" s="272"/>
      <c r="N42" s="256"/>
      <c r="O42" s="264"/>
    </row>
    <row r="43" spans="4:18" ht="15" thickBot="1" x14ac:dyDescent="0.4">
      <c r="E43" t="s">
        <v>191</v>
      </c>
      <c r="I43" s="256"/>
      <c r="J43" s="272"/>
      <c r="K43" s="272"/>
      <c r="N43" s="256"/>
      <c r="O43" s="261"/>
    </row>
    <row r="44" spans="4:18" ht="15" thickBot="1" x14ac:dyDescent="0.4">
      <c r="D44" s="256" t="s">
        <v>207</v>
      </c>
      <c r="E44" s="270">
        <v>9.42</v>
      </c>
      <c r="F44" s="270">
        <v>9.64</v>
      </c>
      <c r="G44" s="270">
        <v>11.7</v>
      </c>
      <c r="H44" s="270">
        <v>11.09</v>
      </c>
      <c r="I44" s="270">
        <v>9.7799999999999994</v>
      </c>
      <c r="J44" s="269">
        <f>_xlfn.RRI(5,I44,E44)</f>
        <v>-7.4728177036439414E-3</v>
      </c>
      <c r="L44" s="269">
        <f>_xlfn.RRI(5,I44,E44)</f>
        <v>-7.4728177036439414E-3</v>
      </c>
      <c r="O44" s="260"/>
    </row>
    <row r="45" spans="4:18" ht="15" thickBot="1" x14ac:dyDescent="0.4">
      <c r="D45" s="256" t="s">
        <v>208</v>
      </c>
      <c r="E45" s="270">
        <v>4.8</v>
      </c>
      <c r="F45" s="270">
        <v>5.68</v>
      </c>
      <c r="G45" s="270">
        <v>5.93</v>
      </c>
      <c r="H45" s="270">
        <v>5.61</v>
      </c>
      <c r="I45" s="270">
        <v>5.0999999999999996</v>
      </c>
      <c r="J45" s="269">
        <f t="shared" ref="J45:J51" si="1">_xlfn.RRI(5,I45,E45)</f>
        <v>-1.2051713658030372E-2</v>
      </c>
      <c r="L45" s="269">
        <f t="shared" ref="L45:L51" si="2">_xlfn.RRI(5,I45,E45)</f>
        <v>-1.2051713658030372E-2</v>
      </c>
    </row>
    <row r="46" spans="4:18" ht="15" thickBot="1" x14ac:dyDescent="0.4">
      <c r="D46" s="256" t="s">
        <v>209</v>
      </c>
      <c r="E46" s="270">
        <v>9.42</v>
      </c>
      <c r="F46" s="270">
        <v>9.64</v>
      </c>
      <c r="G46" s="270">
        <v>11.7</v>
      </c>
      <c r="H46" s="270">
        <v>11.09</v>
      </c>
      <c r="I46" s="270">
        <v>9.7799999999999994</v>
      </c>
      <c r="J46" s="269">
        <f t="shared" si="1"/>
        <v>-7.4728177036439414E-3</v>
      </c>
      <c r="L46" s="269">
        <f t="shared" si="2"/>
        <v>-7.4728177036439414E-3</v>
      </c>
    </row>
    <row r="47" spans="4:18" ht="18.5" thickBot="1" x14ac:dyDescent="0.4">
      <c r="D47" s="256" t="s">
        <v>210</v>
      </c>
      <c r="E47" s="270">
        <v>6.43</v>
      </c>
      <c r="F47" s="270">
        <v>5.82</v>
      </c>
      <c r="G47" s="270">
        <v>6.62</v>
      </c>
      <c r="H47" s="270">
        <v>6.24</v>
      </c>
      <c r="I47" s="270">
        <v>6.56</v>
      </c>
      <c r="J47" s="269">
        <f t="shared" si="1"/>
        <v>-3.9952107660656822E-3</v>
      </c>
      <c r="L47" s="269">
        <f t="shared" si="2"/>
        <v>-3.9952107660656822E-3</v>
      </c>
      <c r="O47" t="s">
        <v>194</v>
      </c>
      <c r="R47" t="s">
        <v>220</v>
      </c>
    </row>
    <row r="48" spans="4:18" ht="15" thickBot="1" x14ac:dyDescent="0.4">
      <c r="D48" s="256" t="s">
        <v>211</v>
      </c>
      <c r="E48" s="270">
        <v>5.5</v>
      </c>
      <c r="F48" s="270">
        <v>6.3</v>
      </c>
      <c r="G48" s="270">
        <v>6.55</v>
      </c>
      <c r="H48" s="270">
        <v>6.15</v>
      </c>
      <c r="I48" s="270">
        <v>6.88</v>
      </c>
      <c r="J48" s="269">
        <f t="shared" si="1"/>
        <v>-4.3786545359748574E-2</v>
      </c>
      <c r="K48" s="271"/>
      <c r="L48" s="269">
        <f t="shared" si="2"/>
        <v>-4.3786545359748574E-2</v>
      </c>
      <c r="N48" s="256" t="s">
        <v>207</v>
      </c>
      <c r="O48" s="270">
        <v>1.28</v>
      </c>
      <c r="Q48" s="256" t="s">
        <v>207</v>
      </c>
      <c r="R48" s="270">
        <v>0.96</v>
      </c>
    </row>
    <row r="49" spans="4:18" ht="15" thickBot="1" x14ac:dyDescent="0.4">
      <c r="D49" s="256" t="s">
        <v>212</v>
      </c>
      <c r="E49" s="270">
        <v>12.04</v>
      </c>
      <c r="F49" s="270">
        <v>15.65</v>
      </c>
      <c r="G49" s="270">
        <v>14.15</v>
      </c>
      <c r="H49" s="270">
        <v>15.19</v>
      </c>
      <c r="I49" s="270">
        <v>13.69</v>
      </c>
      <c r="J49" s="269">
        <f t="shared" si="1"/>
        <v>-2.5359154936025141E-2</v>
      </c>
      <c r="K49" s="261"/>
      <c r="L49" s="269">
        <f t="shared" si="2"/>
        <v>-2.5359154936025141E-2</v>
      </c>
      <c r="N49" s="256" t="s">
        <v>208</v>
      </c>
      <c r="O49" s="272">
        <v>3.27</v>
      </c>
      <c r="Q49" s="256" t="s">
        <v>208</v>
      </c>
      <c r="R49" s="272">
        <v>2.29</v>
      </c>
    </row>
    <row r="50" spans="4:18" ht="15" thickBot="1" x14ac:dyDescent="0.4">
      <c r="D50" s="256" t="s">
        <v>213</v>
      </c>
      <c r="E50" s="270">
        <v>7.15</v>
      </c>
      <c r="F50" s="270">
        <v>5.3</v>
      </c>
      <c r="G50" s="270">
        <v>5.2</v>
      </c>
      <c r="H50" s="270">
        <v>4.18</v>
      </c>
      <c r="I50" s="270">
        <v>4.72</v>
      </c>
      <c r="J50" s="269">
        <f t="shared" si="1"/>
        <v>8.6607776048631235E-2</v>
      </c>
      <c r="K50" s="276"/>
      <c r="L50" s="269">
        <f t="shared" si="2"/>
        <v>8.6607776048631235E-2</v>
      </c>
      <c r="N50" s="256" t="s">
        <v>209</v>
      </c>
      <c r="O50" s="270">
        <v>1.68</v>
      </c>
      <c r="Q50" s="256" t="s">
        <v>209</v>
      </c>
      <c r="R50" s="272">
        <v>1.1100000000000001</v>
      </c>
    </row>
    <row r="51" spans="4:18" ht="18.5" thickBot="1" x14ac:dyDescent="0.4">
      <c r="D51" s="256" t="s">
        <v>214</v>
      </c>
      <c r="E51" s="270">
        <v>18.09</v>
      </c>
      <c r="F51" s="270">
        <v>19.41</v>
      </c>
      <c r="G51" s="270">
        <v>17.100000000000001</v>
      </c>
      <c r="H51" s="270">
        <v>16.170000000000002</v>
      </c>
      <c r="I51" s="270">
        <v>14.89</v>
      </c>
      <c r="J51" s="269">
        <f t="shared" si="1"/>
        <v>3.9701747259394571E-2</v>
      </c>
      <c r="K51" s="276"/>
      <c r="L51" s="269">
        <f t="shared" si="2"/>
        <v>3.9701747259394571E-2</v>
      </c>
      <c r="N51" s="256" t="s">
        <v>210</v>
      </c>
      <c r="O51" s="272">
        <v>1.08</v>
      </c>
      <c r="Q51" s="256" t="s">
        <v>210</v>
      </c>
      <c r="R51" s="272">
        <v>0.67</v>
      </c>
    </row>
    <row r="52" spans="4:18" ht="15" thickBot="1" x14ac:dyDescent="0.4">
      <c r="E52">
        <f>AVERAGE(E44:E51)</f>
        <v>9.1062499999999993</v>
      </c>
      <c r="I52" s="256"/>
      <c r="J52" s="261">
        <f>AVERAGE(J44:J51)</f>
        <v>3.2714078976085192E-3</v>
      </c>
      <c r="K52" s="261"/>
      <c r="L52" s="277">
        <f>AVERAGE(L44:L51)</f>
        <v>3.2714078976085192E-3</v>
      </c>
      <c r="N52" s="256" t="s">
        <v>211</v>
      </c>
      <c r="O52" s="272">
        <v>1.39</v>
      </c>
      <c r="Q52" s="256" t="s">
        <v>211</v>
      </c>
      <c r="R52" s="272">
        <v>0.84</v>
      </c>
    </row>
    <row r="53" spans="4:18" ht="15" thickBot="1" x14ac:dyDescent="0.4">
      <c r="E53" t="s">
        <v>221</v>
      </c>
      <c r="I53" s="256"/>
      <c r="J53" s="261"/>
      <c r="K53" s="261"/>
      <c r="L53" t="s">
        <v>222</v>
      </c>
      <c r="N53" s="256" t="s">
        <v>212</v>
      </c>
      <c r="O53" s="272">
        <v>1.22</v>
      </c>
      <c r="Q53" s="256" t="s">
        <v>212</v>
      </c>
      <c r="R53" s="270">
        <v>0.92</v>
      </c>
    </row>
    <row r="54" spans="4:18" ht="15" thickBot="1" x14ac:dyDescent="0.4">
      <c r="I54" s="256"/>
      <c r="J54" s="261"/>
      <c r="K54" s="261"/>
      <c r="N54" s="256" t="s">
        <v>213</v>
      </c>
      <c r="O54" s="272">
        <v>1.66</v>
      </c>
      <c r="Q54" s="256" t="s">
        <v>213</v>
      </c>
      <c r="R54" s="272">
        <v>1.1000000000000001</v>
      </c>
    </row>
    <row r="55" spans="4:18" ht="15" thickBot="1" x14ac:dyDescent="0.4">
      <c r="I55" s="256"/>
      <c r="J55" s="264"/>
      <c r="K55" s="276"/>
      <c r="N55" s="256" t="s">
        <v>214</v>
      </c>
      <c r="O55" s="270">
        <v>1.07</v>
      </c>
      <c r="Q55" s="256" t="s">
        <v>214</v>
      </c>
      <c r="R55" s="272">
        <v>0.86</v>
      </c>
    </row>
    <row r="56" spans="4:18" ht="15" thickBot="1" x14ac:dyDescent="0.4">
      <c r="D56" s="256" t="s">
        <v>207</v>
      </c>
      <c r="E56" s="270">
        <v>68.39</v>
      </c>
      <c r="F56" s="270">
        <v>197.4</v>
      </c>
      <c r="G56" s="270">
        <v>211.01</v>
      </c>
      <c r="H56" s="270">
        <v>198.99</v>
      </c>
      <c r="I56" s="270">
        <v>211.14</v>
      </c>
      <c r="J56" s="260">
        <f>_xlfn.RRI(5,I56,E56)</f>
        <v>-0.2018501850260418</v>
      </c>
      <c r="K56" s="260">
        <f>_xlfn.RRI(5,I56,E56)</f>
        <v>-0.2018501850260418</v>
      </c>
      <c r="O56">
        <f>AVERAGE(O48:O55)</f>
        <v>1.58125</v>
      </c>
      <c r="P56" t="e">
        <f t="shared" ref="P56:R56" si="3">AVERAGE(P48:P55)</f>
        <v>#DIV/0!</v>
      </c>
      <c r="Q56" t="e">
        <f t="shared" si="3"/>
        <v>#DIV/0!</v>
      </c>
      <c r="R56">
        <f t="shared" si="3"/>
        <v>1.09375</v>
      </c>
    </row>
    <row r="57" spans="4:18" ht="15" thickBot="1" x14ac:dyDescent="0.4">
      <c r="D57" s="256" t="s">
        <v>208</v>
      </c>
      <c r="E57" s="270">
        <v>63.54</v>
      </c>
      <c r="F57" s="270">
        <v>60.63</v>
      </c>
      <c r="G57" s="270">
        <v>64.459999999999994</v>
      </c>
      <c r="H57" s="270">
        <v>65.12</v>
      </c>
      <c r="I57" s="270">
        <v>73.94</v>
      </c>
      <c r="J57" s="260">
        <f t="shared" ref="J57:J63" si="4">_xlfn.RRI(5,I57,E57)</f>
        <v>-2.9861917898006962E-2</v>
      </c>
      <c r="K57" s="260">
        <f t="shared" ref="K57:K63" si="5">_xlfn.RRI(5,I57,E57)</f>
        <v>-2.9861917898006962E-2</v>
      </c>
    </row>
    <row r="58" spans="4:18" ht="15" thickBot="1" x14ac:dyDescent="0.4">
      <c r="D58" s="256" t="s">
        <v>209</v>
      </c>
      <c r="E58" s="270">
        <v>168.99</v>
      </c>
      <c r="F58" s="270">
        <v>172.43</v>
      </c>
      <c r="G58" s="270">
        <v>139.61000000000001</v>
      </c>
      <c r="H58" s="270">
        <v>135.94999999999999</v>
      </c>
      <c r="I58" s="270">
        <v>135.52000000000001</v>
      </c>
      <c r="J58" s="260">
        <f t="shared" si="4"/>
        <v>4.5132908120937509E-2</v>
      </c>
      <c r="K58" s="260">
        <f t="shared" si="5"/>
        <v>4.5132908120937509E-2</v>
      </c>
    </row>
    <row r="59" spans="4:18" ht="18.5" thickBot="1" x14ac:dyDescent="0.4">
      <c r="D59" s="256" t="s">
        <v>210</v>
      </c>
      <c r="E59" s="270">
        <v>77.209999999999994</v>
      </c>
      <c r="F59" s="270">
        <v>66.260000000000005</v>
      </c>
      <c r="G59" s="270">
        <v>72.78</v>
      </c>
      <c r="H59" s="270">
        <v>70.489999999999995</v>
      </c>
      <c r="I59" s="270">
        <v>71.09</v>
      </c>
      <c r="J59" s="260">
        <f t="shared" si="4"/>
        <v>1.6653611250559086E-2</v>
      </c>
      <c r="K59" s="260">
        <f t="shared" si="5"/>
        <v>1.6653611250559086E-2</v>
      </c>
      <c r="M59" t="s">
        <v>222</v>
      </c>
    </row>
    <row r="60" spans="4:18" ht="15" thickBot="1" x14ac:dyDescent="0.4">
      <c r="D60" s="256" t="s">
        <v>211</v>
      </c>
      <c r="E60" s="270">
        <v>88.01</v>
      </c>
      <c r="F60" s="270">
        <v>92.84</v>
      </c>
      <c r="G60" s="270">
        <v>100.92</v>
      </c>
      <c r="H60" s="270">
        <v>88.74</v>
      </c>
      <c r="I60" s="270">
        <v>98.46</v>
      </c>
      <c r="J60" s="260">
        <f t="shared" si="4"/>
        <v>-2.2190082272219747E-2</v>
      </c>
      <c r="K60" s="260">
        <f t="shared" si="5"/>
        <v>-2.2190082272219747E-2</v>
      </c>
      <c r="M60" s="267">
        <v>44256</v>
      </c>
      <c r="N60" s="267">
        <v>43891</v>
      </c>
      <c r="O60" s="267">
        <v>43525</v>
      </c>
      <c r="P60" s="267">
        <v>43160</v>
      </c>
      <c r="Q60" s="267">
        <v>42795</v>
      </c>
    </row>
    <row r="61" spans="4:18" ht="15" thickBot="1" x14ac:dyDescent="0.4">
      <c r="D61" s="256" t="s">
        <v>212</v>
      </c>
      <c r="E61" s="270">
        <v>164.02</v>
      </c>
      <c r="F61" s="270">
        <v>147.91</v>
      </c>
      <c r="G61" s="270">
        <v>177.1</v>
      </c>
      <c r="H61" s="270">
        <v>191.09</v>
      </c>
      <c r="I61" s="270">
        <v>220.35</v>
      </c>
      <c r="J61" s="260">
        <f t="shared" si="4"/>
        <v>-5.7336371827941823E-2</v>
      </c>
      <c r="K61" s="260">
        <f t="shared" si="5"/>
        <v>-5.7336371827941823E-2</v>
      </c>
      <c r="L61" s="256" t="s">
        <v>207</v>
      </c>
      <c r="M61" s="270">
        <v>19.010000000000002</v>
      </c>
      <c r="N61" s="270">
        <v>87.58</v>
      </c>
      <c r="O61" s="270">
        <v>88.98</v>
      </c>
      <c r="P61" s="270">
        <v>82.03</v>
      </c>
      <c r="Q61" s="270">
        <v>78.540000000000006</v>
      </c>
      <c r="R61" s="269">
        <f>_xlfn.RRI(5,Q61,M61)</f>
        <v>-0.24702901053393622</v>
      </c>
    </row>
    <row r="62" spans="4:18" ht="15" thickBot="1" x14ac:dyDescent="0.4">
      <c r="D62" s="256" t="s">
        <v>213</v>
      </c>
      <c r="E62" s="270">
        <v>146.06</v>
      </c>
      <c r="F62" s="270">
        <v>146.24</v>
      </c>
      <c r="G62" s="270">
        <v>149.38999999999999</v>
      </c>
      <c r="H62" s="270">
        <v>154.88999999999999</v>
      </c>
      <c r="I62" s="270">
        <v>162.9</v>
      </c>
      <c r="J62" s="260">
        <f t="shared" si="4"/>
        <v>-2.1587387632422517E-2</v>
      </c>
      <c r="K62" s="260">
        <f t="shared" si="5"/>
        <v>-2.1587387632422517E-2</v>
      </c>
      <c r="L62" s="256" t="s">
        <v>208</v>
      </c>
      <c r="M62" s="270">
        <v>28.02</v>
      </c>
      <c r="N62" s="270">
        <v>29.26</v>
      </c>
      <c r="O62" s="270">
        <v>30.7</v>
      </c>
      <c r="P62" s="270">
        <v>30.87</v>
      </c>
      <c r="Q62" s="270">
        <v>32.76</v>
      </c>
      <c r="R62" s="269">
        <f t="shared" ref="R62:R68" si="6">_xlfn.RRI(5,Q62,M62)</f>
        <v>-3.0774464708931415E-2</v>
      </c>
    </row>
    <row r="63" spans="4:18" ht="15" thickBot="1" x14ac:dyDescent="0.4">
      <c r="D63" s="256" t="s">
        <v>214</v>
      </c>
      <c r="E63" s="270">
        <v>222.92</v>
      </c>
      <c r="F63" s="270">
        <v>211.53</v>
      </c>
      <c r="G63" s="270">
        <v>198.06</v>
      </c>
      <c r="H63" s="270">
        <v>180.42</v>
      </c>
      <c r="I63" s="270">
        <v>174.04</v>
      </c>
      <c r="J63" s="260">
        <f t="shared" si="4"/>
        <v>5.0751435395546718E-2</v>
      </c>
      <c r="K63" s="260">
        <f t="shared" si="5"/>
        <v>5.0751435395546718E-2</v>
      </c>
      <c r="L63" s="256" t="s">
        <v>209</v>
      </c>
      <c r="M63" s="270">
        <v>55.05</v>
      </c>
      <c r="N63" s="270">
        <v>56.25</v>
      </c>
      <c r="O63" s="270">
        <v>40.76</v>
      </c>
      <c r="P63" s="270">
        <v>32.9</v>
      </c>
      <c r="Q63" s="270">
        <v>29.13</v>
      </c>
      <c r="R63" s="269">
        <f t="shared" si="6"/>
        <v>0.13575162728342849</v>
      </c>
    </row>
    <row r="64" spans="4:18" ht="18.5" thickBot="1" x14ac:dyDescent="0.4">
      <c r="J64" s="260">
        <f>AVERAGE(J56:J63)</f>
        <v>-2.7535998736198691E-2</v>
      </c>
      <c r="K64" s="260">
        <f>AVERAGE(K56:K63)</f>
        <v>-2.7535998736198691E-2</v>
      </c>
      <c r="L64" s="256" t="s">
        <v>210</v>
      </c>
      <c r="M64" s="270">
        <v>22.18</v>
      </c>
      <c r="N64" s="270">
        <v>19.760000000000002</v>
      </c>
      <c r="O64" s="270">
        <v>20</v>
      </c>
      <c r="P64" s="270">
        <v>16.670000000000002</v>
      </c>
      <c r="Q64" s="270">
        <v>13.45</v>
      </c>
      <c r="R64" s="269">
        <f t="shared" si="6"/>
        <v>0.10521775087883456</v>
      </c>
    </row>
    <row r="65" spans="4:18" ht="15" thickBot="1" x14ac:dyDescent="0.4">
      <c r="L65" s="256" t="s">
        <v>211</v>
      </c>
      <c r="M65" s="270">
        <v>26.38</v>
      </c>
      <c r="N65" s="270">
        <v>27.24</v>
      </c>
      <c r="O65" s="270">
        <v>32.18</v>
      </c>
      <c r="P65" s="270">
        <v>28.08</v>
      </c>
      <c r="Q65" s="270">
        <v>23.18</v>
      </c>
      <c r="R65" s="269">
        <f t="shared" si="6"/>
        <v>2.6200618131535736E-2</v>
      </c>
    </row>
    <row r="66" spans="4:18" ht="15" thickBot="1" x14ac:dyDescent="0.4">
      <c r="L66" s="256" t="s">
        <v>212</v>
      </c>
      <c r="M66" s="270">
        <v>59.71</v>
      </c>
      <c r="N66" s="270">
        <v>36.72</v>
      </c>
      <c r="O66" s="270">
        <v>40.49</v>
      </c>
      <c r="P66" s="270">
        <v>28.36</v>
      </c>
      <c r="Q66" s="270">
        <v>32</v>
      </c>
      <c r="R66" s="269">
        <f t="shared" si="6"/>
        <v>0.13286828451706101</v>
      </c>
    </row>
    <row r="67" spans="4:18" ht="15" thickBot="1" x14ac:dyDescent="0.4">
      <c r="L67" s="256" t="s">
        <v>213</v>
      </c>
      <c r="M67" s="270">
        <v>44.2</v>
      </c>
      <c r="N67" s="270">
        <v>45.16</v>
      </c>
      <c r="O67" s="270">
        <v>40.75</v>
      </c>
      <c r="P67" s="270">
        <v>31.04</v>
      </c>
      <c r="Q67" s="270">
        <v>33.5</v>
      </c>
      <c r="R67" s="269">
        <f t="shared" si="6"/>
        <v>5.7001229463399028E-2</v>
      </c>
    </row>
    <row r="68" spans="4:18" ht="15" thickBot="1" x14ac:dyDescent="0.4">
      <c r="L68" s="256" t="s">
        <v>214</v>
      </c>
      <c r="M68" s="270">
        <v>122.65</v>
      </c>
      <c r="N68" s="270">
        <v>116.95</v>
      </c>
      <c r="O68" s="270">
        <v>123.03</v>
      </c>
      <c r="P68" s="270">
        <v>49.98</v>
      </c>
      <c r="Q68" s="270">
        <v>47.35</v>
      </c>
      <c r="R68" s="269">
        <f t="shared" si="6"/>
        <v>0.20967725208460442</v>
      </c>
    </row>
    <row r="69" spans="4:18" ht="18" x14ac:dyDescent="0.35">
      <c r="L69" s="256" t="s">
        <v>223</v>
      </c>
      <c r="R69" s="269">
        <f>AVERAGE(R61:R68)</f>
        <v>4.861416088949945E-2</v>
      </c>
    </row>
    <row r="70" spans="4:18" ht="15" thickBot="1" x14ac:dyDescent="0.4">
      <c r="E70" t="s">
        <v>224</v>
      </c>
    </row>
    <row r="71" spans="4:18" ht="15" thickBot="1" x14ac:dyDescent="0.4">
      <c r="D71" s="256" t="s">
        <v>207</v>
      </c>
      <c r="E71" s="270">
        <v>11.62</v>
      </c>
      <c r="F71" s="270">
        <v>33.479999999999997</v>
      </c>
      <c r="G71" s="270">
        <v>32.49</v>
      </c>
      <c r="H71" s="270">
        <v>29.19</v>
      </c>
      <c r="I71" s="270">
        <v>28.49</v>
      </c>
      <c r="J71" s="269">
        <f>_xlfn.RRI(5,I71,E71)</f>
        <v>-0.1641992899448792</v>
      </c>
      <c r="L71" s="256" t="s">
        <v>207</v>
      </c>
      <c r="M71" s="270">
        <v>0</v>
      </c>
      <c r="N71" s="270">
        <v>0</v>
      </c>
      <c r="O71" s="270">
        <v>0.01</v>
      </c>
      <c r="P71" s="270">
        <v>0</v>
      </c>
      <c r="Q71" s="270">
        <v>0.04</v>
      </c>
      <c r="R71" s="269">
        <f>_xlfn.RRI(5,Q71,M71)</f>
        <v>-1</v>
      </c>
    </row>
    <row r="72" spans="4:18" ht="15" thickBot="1" x14ac:dyDescent="0.4">
      <c r="D72" s="256" t="s">
        <v>208</v>
      </c>
      <c r="E72" s="270">
        <v>18.2</v>
      </c>
      <c r="F72" s="270">
        <v>20.11</v>
      </c>
      <c r="G72" s="270">
        <v>17.850000000000001</v>
      </c>
      <c r="H72" s="270">
        <v>17.989999999999998</v>
      </c>
      <c r="I72" s="270">
        <v>18.809999999999999</v>
      </c>
      <c r="J72" s="269">
        <f t="shared" ref="J72:J78" si="7">_xlfn.RRI(5,I72,E72)</f>
        <v>-6.5717210133062753E-3</v>
      </c>
      <c r="L72" s="256" t="s">
        <v>208</v>
      </c>
      <c r="M72" s="270">
        <v>0</v>
      </c>
      <c r="N72" s="270">
        <v>0</v>
      </c>
      <c r="O72" s="270">
        <v>0</v>
      </c>
      <c r="P72" s="270">
        <v>0</v>
      </c>
      <c r="Q72" s="270">
        <v>0</v>
      </c>
      <c r="R72" s="269">
        <f t="shared" ref="R72:R78" si="8">_xlfn.RRI(5,Q72,M72)</f>
        <v>0</v>
      </c>
    </row>
    <row r="73" spans="4:18" ht="15" thickBot="1" x14ac:dyDescent="0.4">
      <c r="D73" s="256" t="s">
        <v>209</v>
      </c>
      <c r="E73" s="270">
        <v>26.36</v>
      </c>
      <c r="F73" s="270">
        <v>27.44</v>
      </c>
      <c r="G73" s="270">
        <v>19.86</v>
      </c>
      <c r="H73" s="270">
        <v>16.64</v>
      </c>
      <c r="I73" s="270">
        <v>13.61</v>
      </c>
      <c r="J73" s="269">
        <f t="shared" si="7"/>
        <v>0.14134635485998381</v>
      </c>
      <c r="L73" s="256" t="s">
        <v>209</v>
      </c>
      <c r="M73" s="270">
        <v>0.02</v>
      </c>
      <c r="N73" s="270">
        <v>0.03</v>
      </c>
      <c r="O73" s="270">
        <v>0.01</v>
      </c>
      <c r="P73" s="270">
        <v>0.01</v>
      </c>
      <c r="Q73" s="270">
        <v>0.01</v>
      </c>
      <c r="R73" s="269">
        <f t="shared" si="8"/>
        <v>0.1486983549970351</v>
      </c>
    </row>
    <row r="74" spans="4:18" ht="18.5" thickBot="1" x14ac:dyDescent="0.4">
      <c r="D74" s="256" t="s">
        <v>210</v>
      </c>
      <c r="E74" s="270">
        <v>12.04</v>
      </c>
      <c r="F74" s="270">
        <v>10</v>
      </c>
      <c r="G74" s="270">
        <v>16.52</v>
      </c>
      <c r="H74" s="270">
        <v>11.7</v>
      </c>
      <c r="I74" s="270">
        <v>10</v>
      </c>
      <c r="J74" s="269">
        <f t="shared" si="7"/>
        <v>3.7827794135901316E-2</v>
      </c>
      <c r="L74" s="256" t="s">
        <v>210</v>
      </c>
      <c r="M74" s="270">
        <v>0.08</v>
      </c>
      <c r="N74" s="270">
        <v>0.34</v>
      </c>
      <c r="O74" s="270">
        <v>0.4</v>
      </c>
      <c r="P74" s="270">
        <v>0.4</v>
      </c>
      <c r="Q74" s="270">
        <v>0.63</v>
      </c>
      <c r="R74" s="269">
        <f t="shared" si="8"/>
        <v>-0.3381647604935144</v>
      </c>
    </row>
    <row r="75" spans="4:18" ht="15" thickBot="1" x14ac:dyDescent="0.4">
      <c r="D75" s="256" t="s">
        <v>211</v>
      </c>
      <c r="E75" s="270">
        <v>15.61</v>
      </c>
      <c r="F75" s="270">
        <v>15.44</v>
      </c>
      <c r="G75" s="270">
        <v>17.09</v>
      </c>
      <c r="H75" s="270">
        <v>15.56</v>
      </c>
      <c r="I75" s="270">
        <v>16.510000000000002</v>
      </c>
      <c r="J75" s="269">
        <f t="shared" si="7"/>
        <v>-1.1148296671613878E-2</v>
      </c>
      <c r="L75" s="256" t="s">
        <v>211</v>
      </c>
      <c r="M75" s="270">
        <v>0.06</v>
      </c>
      <c r="N75" s="270">
        <v>7.0000000000000007E-2</v>
      </c>
      <c r="O75" s="270">
        <v>0.09</v>
      </c>
      <c r="P75" s="270">
        <v>0.15</v>
      </c>
      <c r="Q75" s="270">
        <v>0.19</v>
      </c>
      <c r="R75" s="269">
        <f t="shared" si="8"/>
        <v>-0.20589207556247546</v>
      </c>
    </row>
    <row r="76" spans="4:18" ht="15" thickBot="1" x14ac:dyDescent="0.4">
      <c r="D76" s="256" t="s">
        <v>212</v>
      </c>
      <c r="E76" s="270">
        <v>23.27</v>
      </c>
      <c r="F76" s="270">
        <v>17.88</v>
      </c>
      <c r="G76" s="270">
        <v>18.57</v>
      </c>
      <c r="H76" s="270">
        <v>19.350000000000001</v>
      </c>
      <c r="I76" s="270">
        <v>21.52</v>
      </c>
      <c r="J76" s="269">
        <f t="shared" si="7"/>
        <v>1.5759337343506319E-2</v>
      </c>
      <c r="L76" s="256" t="s">
        <v>212</v>
      </c>
      <c r="M76" s="270">
        <v>0.59</v>
      </c>
      <c r="N76" s="270">
        <v>0.34</v>
      </c>
      <c r="O76" s="270">
        <v>0.03</v>
      </c>
      <c r="P76" s="270">
        <v>0.05</v>
      </c>
      <c r="Q76" s="270">
        <v>0.04</v>
      </c>
      <c r="R76" s="269">
        <f t="shared" si="8"/>
        <v>0.71300410643453049</v>
      </c>
    </row>
    <row r="77" spans="4:18" ht="15" thickBot="1" x14ac:dyDescent="0.4">
      <c r="D77" s="256" t="s">
        <v>213</v>
      </c>
      <c r="E77" s="270">
        <v>21.27</v>
      </c>
      <c r="F77" s="270">
        <v>20.41</v>
      </c>
      <c r="G77" s="270">
        <v>22.69</v>
      </c>
      <c r="H77" s="270">
        <v>19.95</v>
      </c>
      <c r="I77" s="270">
        <v>21.98</v>
      </c>
      <c r="J77" s="269">
        <f t="shared" si="7"/>
        <v>-6.5455479130200889E-3</v>
      </c>
      <c r="L77" s="256" t="s">
        <v>213</v>
      </c>
      <c r="M77" s="270">
        <v>0.11</v>
      </c>
      <c r="N77" s="270">
        <v>0.11</v>
      </c>
      <c r="O77" s="270">
        <v>0.12</v>
      </c>
      <c r="P77" s="270">
        <v>0.12</v>
      </c>
      <c r="Q77" s="270">
        <v>0.1</v>
      </c>
      <c r="R77" s="269">
        <f t="shared" si="8"/>
        <v>1.9244876491456564E-2</v>
      </c>
    </row>
    <row r="78" spans="4:18" ht="15" thickBot="1" x14ac:dyDescent="0.4">
      <c r="D78" s="256" t="s">
        <v>214</v>
      </c>
      <c r="E78" s="270">
        <v>48.02</v>
      </c>
      <c r="F78" s="270">
        <v>34.51</v>
      </c>
      <c r="G78" s="270">
        <v>31.65</v>
      </c>
      <c r="H78" s="270">
        <v>20.61</v>
      </c>
      <c r="I78" s="270">
        <v>21.58</v>
      </c>
      <c r="J78" s="269">
        <f t="shared" si="7"/>
        <v>0.17347581427773773</v>
      </c>
      <c r="L78" s="256" t="s">
        <v>214</v>
      </c>
      <c r="M78" s="270">
        <v>0.01</v>
      </c>
      <c r="N78" s="270">
        <v>0.02</v>
      </c>
      <c r="O78" s="270">
        <v>0.03</v>
      </c>
      <c r="P78" s="270">
        <v>0.02</v>
      </c>
      <c r="Q78" s="270">
        <v>0.02</v>
      </c>
      <c r="R78" s="269">
        <f t="shared" si="8"/>
        <v>-0.12944943670387588</v>
      </c>
    </row>
    <row r="79" spans="4:18" x14ac:dyDescent="0.35">
      <c r="J79" s="277">
        <f>AVERAGE(J71:J78)</f>
        <v>2.2493055634288717E-2</v>
      </c>
      <c r="R79" s="277">
        <f>AVERAGE(R71:R78)</f>
        <v>-9.9069866854605448E-2</v>
      </c>
    </row>
    <row r="81" spans="3:17" ht="15" thickBot="1" x14ac:dyDescent="0.4">
      <c r="C81" t="s">
        <v>225</v>
      </c>
      <c r="J81" t="s">
        <v>226</v>
      </c>
    </row>
    <row r="82" spans="3:17" ht="15" thickBot="1" x14ac:dyDescent="0.4">
      <c r="C82" s="256" t="s">
        <v>207</v>
      </c>
      <c r="D82" s="270">
        <v>17</v>
      </c>
      <c r="E82" s="270">
        <v>16.98</v>
      </c>
      <c r="F82" s="270">
        <v>15.41</v>
      </c>
      <c r="G82" s="270">
        <v>14.7</v>
      </c>
      <c r="H82" s="270">
        <v>13.53</v>
      </c>
      <c r="I82" s="269">
        <f>_xlfn.RRI(5,H82,E82)</f>
        <v>4.6472880132475414E-2</v>
      </c>
    </row>
    <row r="83" spans="3:17" ht="15" thickBot="1" x14ac:dyDescent="0.4">
      <c r="C83" s="256" t="s">
        <v>208</v>
      </c>
      <c r="D83" s="270">
        <v>28.65</v>
      </c>
      <c r="E83" s="270">
        <v>33.17</v>
      </c>
      <c r="F83" s="270">
        <v>27.7</v>
      </c>
      <c r="G83" s="270">
        <v>27.62</v>
      </c>
      <c r="H83" s="270">
        <v>25.44</v>
      </c>
      <c r="I83" s="269">
        <f t="shared" ref="I83:I89" si="9">_xlfn.RRI(5,H83,E83)</f>
        <v>5.4497787619895544E-2</v>
      </c>
      <c r="J83" s="256" t="s">
        <v>207</v>
      </c>
      <c r="K83" s="256"/>
      <c r="L83" s="270">
        <v>1.28</v>
      </c>
      <c r="M83" s="270">
        <v>1.32</v>
      </c>
      <c r="N83" s="270">
        <v>1.37</v>
      </c>
      <c r="O83" s="270">
        <v>1.31</v>
      </c>
      <c r="P83" s="270">
        <v>1.32</v>
      </c>
      <c r="Q83" s="269">
        <f t="shared" ref="Q83:Q90" si="10">_xlfn.RRI(5,P83,L83)</f>
        <v>-6.1354326241468415E-3</v>
      </c>
    </row>
    <row r="84" spans="3:17" ht="15" thickBot="1" x14ac:dyDescent="0.4">
      <c r="C84" s="256" t="s">
        <v>209</v>
      </c>
      <c r="D84" s="270">
        <v>15.59</v>
      </c>
      <c r="E84" s="270">
        <v>15.91</v>
      </c>
      <c r="F84" s="270">
        <v>14.23</v>
      </c>
      <c r="G84" s="270">
        <v>12.24</v>
      </c>
      <c r="H84" s="270">
        <v>10.039999999999999</v>
      </c>
      <c r="I84" s="269">
        <f t="shared" si="9"/>
        <v>9.6446115740998151E-2</v>
      </c>
      <c r="J84" s="256" t="s">
        <v>208</v>
      </c>
      <c r="K84" s="256"/>
      <c r="L84" s="270">
        <v>3.13</v>
      </c>
      <c r="M84" s="270">
        <v>4.0199999999999996</v>
      </c>
      <c r="N84" s="270">
        <v>3.07</v>
      </c>
      <c r="O84" s="270">
        <v>2.77</v>
      </c>
      <c r="P84" s="270">
        <v>3.59</v>
      </c>
      <c r="Q84" s="269">
        <f t="shared" si="10"/>
        <v>-2.7051220089872707E-2</v>
      </c>
    </row>
    <row r="85" spans="3:17" ht="18.5" thickBot="1" x14ac:dyDescent="0.4">
      <c r="C85" s="256" t="s">
        <v>210</v>
      </c>
      <c r="D85" s="270">
        <v>15.6</v>
      </c>
      <c r="E85" s="270">
        <v>15.09</v>
      </c>
      <c r="F85" s="270">
        <v>22.69</v>
      </c>
      <c r="G85" s="270">
        <v>16.59</v>
      </c>
      <c r="H85" s="270">
        <v>14.1</v>
      </c>
      <c r="I85" s="269">
        <f t="shared" si="9"/>
        <v>1.3664005847878746E-2</v>
      </c>
      <c r="J85" s="256" t="s">
        <v>209</v>
      </c>
      <c r="K85" s="256"/>
      <c r="L85" s="270">
        <v>1.68</v>
      </c>
      <c r="M85" s="270">
        <v>1.74</v>
      </c>
      <c r="N85" s="270">
        <v>2.5499999999999998</v>
      </c>
      <c r="O85" s="270">
        <v>2.64</v>
      </c>
      <c r="P85" s="270">
        <v>2.0099999999999998</v>
      </c>
      <c r="Q85" s="269">
        <f t="shared" si="10"/>
        <v>-3.5232544781219621E-2</v>
      </c>
    </row>
    <row r="86" spans="3:17" ht="18.5" thickBot="1" x14ac:dyDescent="0.4">
      <c r="C86" s="256" t="s">
        <v>211</v>
      </c>
      <c r="D86" s="270">
        <v>17.760000000000002</v>
      </c>
      <c r="E86" s="270">
        <v>16.670000000000002</v>
      </c>
      <c r="F86" s="270">
        <v>16.97</v>
      </c>
      <c r="G86" s="270">
        <v>17.57</v>
      </c>
      <c r="H86" s="270">
        <v>16.809999999999999</v>
      </c>
      <c r="I86" s="269">
        <f t="shared" si="9"/>
        <v>-1.6712520319521751E-3</v>
      </c>
      <c r="J86" s="256" t="s">
        <v>210</v>
      </c>
      <c r="K86" s="256"/>
      <c r="L86" s="270">
        <v>1.08</v>
      </c>
      <c r="M86" s="270">
        <v>1.06</v>
      </c>
      <c r="N86" s="270">
        <v>1.2</v>
      </c>
      <c r="O86" s="270">
        <v>1.24</v>
      </c>
      <c r="P86" s="270">
        <v>1.31</v>
      </c>
      <c r="Q86" s="269">
        <f t="shared" si="10"/>
        <v>-3.787723221181849E-2</v>
      </c>
    </row>
    <row r="87" spans="3:17" ht="15" thickBot="1" x14ac:dyDescent="0.4">
      <c r="C87" s="256" t="s">
        <v>212</v>
      </c>
      <c r="D87" s="270">
        <v>14.08</v>
      </c>
      <c r="E87" s="270">
        <v>12.01</v>
      </c>
      <c r="F87" s="270">
        <v>10.46</v>
      </c>
      <c r="G87" s="270">
        <v>10.119999999999999</v>
      </c>
      <c r="H87" s="270">
        <v>9.76</v>
      </c>
      <c r="I87" s="269">
        <f t="shared" si="9"/>
        <v>4.2362161884566873E-2</v>
      </c>
      <c r="J87" s="256" t="s">
        <v>211</v>
      </c>
      <c r="K87" s="256"/>
      <c r="L87" s="270">
        <v>1.63</v>
      </c>
      <c r="M87" s="270">
        <v>1.98</v>
      </c>
      <c r="N87" s="270">
        <v>1.35</v>
      </c>
      <c r="O87" s="270">
        <v>1.41</v>
      </c>
      <c r="P87" s="270">
        <v>1.4</v>
      </c>
      <c r="Q87" s="269">
        <f t="shared" si="10"/>
        <v>3.0889019447015276E-2</v>
      </c>
    </row>
    <row r="88" spans="3:17" ht="15" thickBot="1" x14ac:dyDescent="0.4">
      <c r="C88" s="256" t="s">
        <v>213</v>
      </c>
      <c r="D88" s="270">
        <v>14.92</v>
      </c>
      <c r="E88" s="270">
        <v>14.25</v>
      </c>
      <c r="F88" s="270">
        <v>15.43</v>
      </c>
      <c r="G88" s="270">
        <v>13.08</v>
      </c>
      <c r="H88" s="270">
        <v>13.72</v>
      </c>
      <c r="I88" s="269">
        <f t="shared" si="9"/>
        <v>7.6092612841696106E-3</v>
      </c>
      <c r="J88" s="256" t="s">
        <v>212</v>
      </c>
      <c r="K88" s="256"/>
      <c r="L88" s="270">
        <v>1.22</v>
      </c>
      <c r="M88" s="270">
        <v>1.43</v>
      </c>
      <c r="N88" s="270">
        <v>1.9</v>
      </c>
      <c r="O88" s="270">
        <v>1.91</v>
      </c>
      <c r="P88" s="270">
        <v>1.74</v>
      </c>
      <c r="Q88" s="269">
        <f t="shared" si="10"/>
        <v>-6.8544489199336978E-2</v>
      </c>
    </row>
    <row r="89" spans="3:17" ht="15" thickBot="1" x14ac:dyDescent="0.4">
      <c r="C89" s="256" t="s">
        <v>214</v>
      </c>
      <c r="D89" s="270">
        <v>21.62</v>
      </c>
      <c r="E89" s="270">
        <v>16.45</v>
      </c>
      <c r="F89" s="270">
        <v>16.04</v>
      </c>
      <c r="G89" s="270">
        <v>11.42</v>
      </c>
      <c r="H89" s="270">
        <v>12.4</v>
      </c>
      <c r="I89" s="269">
        <f t="shared" si="9"/>
        <v>5.8153915792640731E-2</v>
      </c>
      <c r="J89" s="256" t="s">
        <v>213</v>
      </c>
      <c r="K89" s="256"/>
      <c r="L89" s="270">
        <v>1.66</v>
      </c>
      <c r="M89" s="270">
        <v>1.78</v>
      </c>
      <c r="N89" s="270">
        <v>1.86</v>
      </c>
      <c r="O89" s="270">
        <v>1.92</v>
      </c>
      <c r="P89" s="270">
        <v>1.91</v>
      </c>
      <c r="Q89" s="269">
        <f t="shared" si="10"/>
        <v>-2.7667182154386794E-2</v>
      </c>
    </row>
    <row r="90" spans="3:17" ht="15" thickBot="1" x14ac:dyDescent="0.4">
      <c r="I90" s="277">
        <f>AVERAGE(I82:I89)</f>
        <v>3.9691859533834112E-2</v>
      </c>
      <c r="J90" s="256" t="s">
        <v>214</v>
      </c>
      <c r="K90" s="256"/>
      <c r="L90" s="270">
        <v>1.07</v>
      </c>
      <c r="M90" s="270">
        <v>0.86</v>
      </c>
      <c r="N90" s="270">
        <v>0.71</v>
      </c>
      <c r="O90" s="270">
        <v>0.85</v>
      </c>
      <c r="P90" s="270">
        <v>0.88</v>
      </c>
      <c r="Q90" s="269">
        <f t="shared" si="10"/>
        <v>3.9872806255835336E-2</v>
      </c>
    </row>
    <row r="91" spans="3:17" x14ac:dyDescent="0.35">
      <c r="Q91" s="277">
        <f>AVERAGE(Q83:Q90)</f>
        <v>-1.6468284419741352E-2</v>
      </c>
    </row>
    <row r="93" spans="3:17" x14ac:dyDescent="0.35">
      <c r="C93" t="s">
        <v>227</v>
      </c>
    </row>
    <row r="94" spans="3:17" ht="15" thickBot="1" x14ac:dyDescent="0.4">
      <c r="J94" t="s">
        <v>206</v>
      </c>
    </row>
    <row r="95" spans="3:17" ht="15" thickBot="1" x14ac:dyDescent="0.4">
      <c r="C95" s="256" t="s">
        <v>207</v>
      </c>
      <c r="D95" s="270">
        <v>0.96</v>
      </c>
      <c r="E95" s="270">
        <v>1.03</v>
      </c>
      <c r="F95" s="270">
        <v>1.08</v>
      </c>
      <c r="G95" s="270">
        <v>1.03</v>
      </c>
      <c r="H95" s="270">
        <v>0.99</v>
      </c>
      <c r="I95" s="269">
        <f>_xlfn.RRI(5,H95,D95)</f>
        <v>-6.1354326241468415E-3</v>
      </c>
      <c r="J95" s="256" t="s">
        <v>207</v>
      </c>
      <c r="K95" s="256"/>
      <c r="L95" s="270">
        <v>16.77</v>
      </c>
      <c r="M95" s="270">
        <v>82</v>
      </c>
      <c r="N95" s="270">
        <v>76.95</v>
      </c>
      <c r="O95" s="270">
        <v>71.61</v>
      </c>
      <c r="P95" s="270">
        <v>66.37</v>
      </c>
      <c r="Q95" s="278">
        <f t="shared" ref="Q95:Q102" si="11">_xlfn.RRI(5,P95,L95)</f>
        <v>-0.24052715719766138</v>
      </c>
    </row>
    <row r="96" spans="3:17" ht="15" thickBot="1" x14ac:dyDescent="0.4">
      <c r="C96" s="256" t="s">
        <v>208</v>
      </c>
      <c r="D96" s="270">
        <v>2.2000000000000002</v>
      </c>
      <c r="E96" s="270">
        <v>3.13</v>
      </c>
      <c r="F96" s="270">
        <v>2.2799999999999998</v>
      </c>
      <c r="G96" s="270">
        <v>1.95</v>
      </c>
      <c r="H96" s="270">
        <v>2.44</v>
      </c>
      <c r="I96" s="269">
        <f t="shared" ref="I96:I102" si="12">_xlfn.RRI(5,H96,D96)</f>
        <v>-2.0495194747931822E-2</v>
      </c>
      <c r="J96" s="256" t="s">
        <v>208</v>
      </c>
      <c r="K96" s="256"/>
      <c r="L96" s="270">
        <v>22.08</v>
      </c>
      <c r="M96" s="270">
        <v>23.63</v>
      </c>
      <c r="N96" s="270">
        <v>21.5</v>
      </c>
      <c r="O96" s="270">
        <v>21.83</v>
      </c>
      <c r="P96" s="270">
        <v>22.49</v>
      </c>
      <c r="Q96" s="278">
        <f t="shared" si="11"/>
        <v>-3.672947080026745E-3</v>
      </c>
    </row>
    <row r="97" spans="3:17" ht="15" thickBot="1" x14ac:dyDescent="0.4">
      <c r="C97" s="256" t="s">
        <v>209</v>
      </c>
      <c r="D97" s="270">
        <v>1.1100000000000001</v>
      </c>
      <c r="E97" s="270">
        <v>1.1599999999999999</v>
      </c>
      <c r="F97" s="270">
        <v>2.0299999999999998</v>
      </c>
      <c r="G97" s="270">
        <v>2.0299999999999998</v>
      </c>
      <c r="H97" s="270">
        <v>1.43</v>
      </c>
      <c r="I97" s="269">
        <f t="shared" si="12"/>
        <v>-4.9400923020066489E-2</v>
      </c>
      <c r="J97" s="256" t="s">
        <v>209</v>
      </c>
      <c r="K97" s="256"/>
      <c r="L97" s="270">
        <v>103.12</v>
      </c>
      <c r="M97" s="270">
        <v>102.58</v>
      </c>
      <c r="N97" s="270">
        <v>43.74</v>
      </c>
      <c r="O97" s="270">
        <v>35.81</v>
      </c>
      <c r="P97" s="270">
        <v>30.74</v>
      </c>
      <c r="Q97" s="278">
        <f t="shared" si="11"/>
        <v>0.27387791454955868</v>
      </c>
    </row>
    <row r="98" spans="3:17" ht="18.5" thickBot="1" x14ac:dyDescent="0.4">
      <c r="C98" s="256" t="s">
        <v>210</v>
      </c>
      <c r="D98" s="270">
        <v>0.67</v>
      </c>
      <c r="E98" s="270">
        <v>0.68</v>
      </c>
      <c r="F98" s="270">
        <v>0.8</v>
      </c>
      <c r="G98" s="270">
        <v>0.86</v>
      </c>
      <c r="H98" s="270">
        <v>0.89</v>
      </c>
      <c r="I98" s="269">
        <f t="shared" si="12"/>
        <v>-5.5206364122313389E-2</v>
      </c>
      <c r="J98" s="256" t="s">
        <v>210</v>
      </c>
      <c r="K98" s="256"/>
      <c r="L98" s="270">
        <v>12.04</v>
      </c>
      <c r="M98" s="270">
        <v>10</v>
      </c>
      <c r="N98" s="270">
        <v>16.52</v>
      </c>
      <c r="O98" s="270">
        <v>11.7</v>
      </c>
      <c r="P98" s="270">
        <v>10</v>
      </c>
      <c r="Q98" s="278">
        <f t="shared" si="11"/>
        <v>3.7827794135901316E-2</v>
      </c>
    </row>
    <row r="99" spans="3:17" ht="15" thickBot="1" x14ac:dyDescent="0.4">
      <c r="C99" s="256" t="s">
        <v>211</v>
      </c>
      <c r="D99" s="270">
        <v>1.04</v>
      </c>
      <c r="E99" s="270">
        <v>1.42</v>
      </c>
      <c r="F99" s="270">
        <v>0.86</v>
      </c>
      <c r="G99" s="270">
        <v>0.9</v>
      </c>
      <c r="H99" s="270">
        <v>0.9</v>
      </c>
      <c r="I99" s="269">
        <f t="shared" si="12"/>
        <v>2.9338379413359039E-2</v>
      </c>
      <c r="J99" s="256" t="s">
        <v>211</v>
      </c>
      <c r="K99" s="256"/>
      <c r="L99" s="270">
        <v>22.09</v>
      </c>
      <c r="M99" s="270">
        <v>21.87</v>
      </c>
      <c r="N99" s="270">
        <v>25.61</v>
      </c>
      <c r="O99" s="270">
        <v>23.73</v>
      </c>
      <c r="P99" s="270">
        <v>26.34</v>
      </c>
      <c r="Q99" s="278">
        <f t="shared" si="11"/>
        <v>-3.4580672518687683E-2</v>
      </c>
    </row>
    <row r="100" spans="3:17" ht="15" thickBot="1" x14ac:dyDescent="0.4">
      <c r="C100" s="256" t="s">
        <v>212</v>
      </c>
      <c r="D100" s="270">
        <v>0.92</v>
      </c>
      <c r="E100" s="270">
        <v>1.1399999999999999</v>
      </c>
      <c r="F100" s="270">
        <v>1.48</v>
      </c>
      <c r="G100" s="270">
        <v>1.52</v>
      </c>
      <c r="H100" s="270">
        <v>1.25</v>
      </c>
      <c r="I100" s="269">
        <f t="shared" si="12"/>
        <v>-5.9463697701331975E-2</v>
      </c>
      <c r="J100" s="256" t="s">
        <v>212</v>
      </c>
      <c r="K100" s="256"/>
      <c r="L100" s="270">
        <v>52.53</v>
      </c>
      <c r="M100" s="270">
        <v>31.85</v>
      </c>
      <c r="N100" s="270">
        <v>27.25</v>
      </c>
      <c r="O100" s="270">
        <v>29.48</v>
      </c>
      <c r="P100" s="270">
        <v>32.799999999999997</v>
      </c>
      <c r="Q100" s="278">
        <f t="shared" si="11"/>
        <v>9.8769792948596447E-2</v>
      </c>
    </row>
    <row r="101" spans="3:17" ht="15" thickBot="1" x14ac:dyDescent="0.4">
      <c r="C101" s="256" t="s">
        <v>213</v>
      </c>
      <c r="D101" s="270">
        <v>1.1000000000000001</v>
      </c>
      <c r="E101" s="270">
        <v>1.01</v>
      </c>
      <c r="F101" s="270">
        <v>1.04</v>
      </c>
      <c r="G101" s="270">
        <v>0.88</v>
      </c>
      <c r="H101" s="270">
        <v>0.91</v>
      </c>
      <c r="I101" s="269">
        <f t="shared" si="12"/>
        <v>3.8652470802301497E-2</v>
      </c>
      <c r="J101" s="256" t="s">
        <v>213</v>
      </c>
      <c r="K101" s="256"/>
      <c r="L101" s="270">
        <v>36.17</v>
      </c>
      <c r="M101" s="270">
        <v>33.770000000000003</v>
      </c>
      <c r="N101" s="270">
        <v>37.44</v>
      </c>
      <c r="O101" s="270">
        <v>32.03</v>
      </c>
      <c r="P101" s="270">
        <v>34.33</v>
      </c>
      <c r="Q101" s="278">
        <f t="shared" si="11"/>
        <v>1.049679655571234E-2</v>
      </c>
    </row>
    <row r="102" spans="3:17" ht="15" thickBot="1" x14ac:dyDescent="0.4">
      <c r="C102" s="256" t="s">
        <v>214</v>
      </c>
      <c r="D102" s="270">
        <v>0.86</v>
      </c>
      <c r="E102" s="270">
        <v>0.7</v>
      </c>
      <c r="F102" s="270">
        <v>0.56000000000000005</v>
      </c>
      <c r="G102" s="270">
        <v>0.66</v>
      </c>
      <c r="H102" s="270">
        <v>0.67</v>
      </c>
      <c r="I102" s="269">
        <f t="shared" si="12"/>
        <v>5.1198493236543241E-2</v>
      </c>
      <c r="J102" s="256" t="s">
        <v>214</v>
      </c>
      <c r="K102" s="256"/>
      <c r="L102" s="270">
        <v>131.44999999999999</v>
      </c>
      <c r="M102" s="270">
        <v>132.75</v>
      </c>
      <c r="N102" s="270">
        <v>140.91999999999999</v>
      </c>
      <c r="O102" s="270">
        <v>53.3</v>
      </c>
      <c r="P102" s="270">
        <v>49.88</v>
      </c>
      <c r="Q102" s="278">
        <f t="shared" si="11"/>
        <v>0.21385504908491981</v>
      </c>
    </row>
    <row r="103" spans="3:17" x14ac:dyDescent="0.35">
      <c r="I103" s="277">
        <f>AVERAGE(I95:I102)</f>
        <v>-8.9390335954483424E-3</v>
      </c>
      <c r="Q103" s="277">
        <f>AVERAGE(Q95:Q102)</f>
        <v>4.4505821309789098E-2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QUANTATIVE ANALYSIS</vt:lpstr>
      <vt:lpstr>Score Range Quantative ANALYSIS</vt:lpstr>
      <vt:lpstr>QUALITATIVE ANALYSIS </vt:lpstr>
      <vt:lpstr>Score Range Qualitative ANALYSI</vt:lpstr>
      <vt:lpstr>Income statement</vt:lpstr>
      <vt:lpstr>Time series</vt:lpstr>
      <vt:lpstr>CROSS SECTION ANALYSIS</vt:lpstr>
      <vt:lpstr>COMPREHENSIVE ANALYSIS</vt:lpstr>
      <vt:lpstr>Industry average 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divyansh</dc:creator>
  <cp:lastModifiedBy>divyansh</cp:lastModifiedBy>
  <dcterms:created xsi:type="dcterms:W3CDTF">2021-08-10T07:06:30Z</dcterms:created>
  <dcterms:modified xsi:type="dcterms:W3CDTF">2021-08-10T10:45:01Z</dcterms:modified>
</cp:coreProperties>
</file>